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2f12f94b562df0/Documents/"/>
    </mc:Choice>
  </mc:AlternateContent>
  <xr:revisionPtr revIDLastSave="0" documentId="14_{00F3FF12-17E1-4DCC-8699-8F5EE4599486}" xr6:coauthVersionLast="47" xr6:coauthVersionMax="47" xr10:uidLastSave="{00000000-0000-0000-0000-000000000000}"/>
  <bookViews>
    <workbookView xWindow="-96" yWindow="0" windowWidth="11712" windowHeight="12336" xr2:uid="{46240F78-87A8-451F-9052-95808258F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1" l="1"/>
  <c r="I205" i="1" s="1"/>
  <c r="J157" i="1"/>
  <c r="K157" i="1"/>
  <c r="L157" i="1"/>
  <c r="M157" i="1"/>
  <c r="J158" i="1"/>
  <c r="J160" i="1" s="1"/>
  <c r="K158" i="1"/>
  <c r="K160" i="1" s="1"/>
  <c r="L158" i="1"/>
  <c r="L160" i="1" s="1"/>
  <c r="M158" i="1"/>
  <c r="M160" i="1" s="1"/>
  <c r="J159" i="1"/>
  <c r="K159" i="1"/>
  <c r="L159" i="1"/>
  <c r="M159" i="1"/>
  <c r="J141" i="1"/>
  <c r="K141" i="1"/>
  <c r="L141" i="1"/>
  <c r="M141" i="1"/>
  <c r="J142" i="1"/>
  <c r="K142" i="1"/>
  <c r="L142" i="1"/>
  <c r="M142" i="1"/>
  <c r="J143" i="1"/>
  <c r="J151" i="1" s="1"/>
  <c r="J152" i="1" s="1"/>
  <c r="J154" i="1" s="1"/>
  <c r="K153" i="1" s="1"/>
  <c r="K143" i="1"/>
  <c r="L143" i="1"/>
  <c r="M143" i="1"/>
  <c r="J144" i="1"/>
  <c r="K144" i="1"/>
  <c r="L144" i="1"/>
  <c r="M144" i="1"/>
  <c r="J145" i="1"/>
  <c r="K145" i="1"/>
  <c r="L145" i="1"/>
  <c r="M145" i="1"/>
  <c r="J146" i="1"/>
  <c r="J104" i="1" s="1"/>
  <c r="K104" i="1" s="1"/>
  <c r="L104" i="1" s="1"/>
  <c r="M104" i="1" s="1"/>
  <c r="K146" i="1"/>
  <c r="L146" i="1"/>
  <c r="M146" i="1"/>
  <c r="J147" i="1"/>
  <c r="K147" i="1"/>
  <c r="L147" i="1"/>
  <c r="M147" i="1"/>
  <c r="J148" i="1"/>
  <c r="K148" i="1"/>
  <c r="L148" i="1"/>
  <c r="M148" i="1"/>
  <c r="J149" i="1"/>
  <c r="K149" i="1"/>
  <c r="L149" i="1"/>
  <c r="M149" i="1" s="1"/>
  <c r="J150" i="1"/>
  <c r="K150" i="1" s="1"/>
  <c r="L150" i="1" s="1"/>
  <c r="M150" i="1" s="1"/>
  <c r="J153" i="1"/>
  <c r="J134" i="1"/>
  <c r="K134" i="1"/>
  <c r="L134" i="1"/>
  <c r="M134" i="1"/>
  <c r="J135" i="1"/>
  <c r="J74" i="1" s="1"/>
  <c r="K74" i="1" s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15" i="1"/>
  <c r="J132" i="1" s="1"/>
  <c r="K115" i="1"/>
  <c r="K132" i="1" s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 s="1"/>
  <c r="M119" i="1" s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29" i="1"/>
  <c r="K129" i="1"/>
  <c r="L129" i="1"/>
  <c r="M129" i="1"/>
  <c r="J130" i="1"/>
  <c r="K130" i="1"/>
  <c r="L130" i="1"/>
  <c r="M130" i="1"/>
  <c r="J131" i="1"/>
  <c r="K131" i="1"/>
  <c r="L131" i="1"/>
  <c r="M131" i="1"/>
  <c r="J102" i="1"/>
  <c r="K102" i="1" s="1"/>
  <c r="J105" i="1"/>
  <c r="K105" i="1" s="1"/>
  <c r="L105" i="1" s="1"/>
  <c r="M105" i="1" s="1"/>
  <c r="J106" i="1"/>
  <c r="K106" i="1"/>
  <c r="L106" i="1"/>
  <c r="M106" i="1"/>
  <c r="J108" i="1"/>
  <c r="K108" i="1" s="1"/>
  <c r="L108" i="1" s="1"/>
  <c r="M108" i="1" s="1"/>
  <c r="J94" i="1"/>
  <c r="K94" i="1"/>
  <c r="L94" i="1"/>
  <c r="M94" i="1"/>
  <c r="J95" i="1"/>
  <c r="K95" i="1"/>
  <c r="L95" i="1"/>
  <c r="M95" i="1"/>
  <c r="J96" i="1"/>
  <c r="K96" i="1" s="1"/>
  <c r="L96" i="1" s="1"/>
  <c r="M96" i="1" s="1"/>
  <c r="J97" i="1"/>
  <c r="K97" i="1"/>
  <c r="L97" i="1"/>
  <c r="M97" i="1"/>
  <c r="J98" i="1"/>
  <c r="K98" i="1"/>
  <c r="L98" i="1" s="1"/>
  <c r="M98" i="1" s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7" i="1"/>
  <c r="K87" i="1"/>
  <c r="L87" i="1"/>
  <c r="M87" i="1"/>
  <c r="J89" i="1"/>
  <c r="K89" i="1"/>
  <c r="L89" i="1"/>
  <c r="M89" i="1"/>
  <c r="J90" i="1"/>
  <c r="K90" i="1"/>
  <c r="L90" i="1"/>
  <c r="M90" i="1"/>
  <c r="J75" i="1"/>
  <c r="K75" i="1"/>
  <c r="L75" i="1"/>
  <c r="M75" i="1"/>
  <c r="J77" i="1"/>
  <c r="K77" i="1" s="1"/>
  <c r="L77" i="1" s="1"/>
  <c r="M77" i="1" s="1"/>
  <c r="J78" i="1"/>
  <c r="K78" i="1"/>
  <c r="L78" i="1"/>
  <c r="M78" i="1"/>
  <c r="J79" i="1"/>
  <c r="K79" i="1"/>
  <c r="L79" i="1"/>
  <c r="M79" i="1"/>
  <c r="J80" i="1"/>
  <c r="K80" i="1" s="1"/>
  <c r="L80" i="1" s="1"/>
  <c r="M80" i="1" s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G3" i="1"/>
  <c r="H3" i="1"/>
  <c r="F3" i="1"/>
  <c r="G112" i="1"/>
  <c r="H112" i="1"/>
  <c r="F112" i="1"/>
  <c r="I105" i="1"/>
  <c r="I74" i="1"/>
  <c r="I147" i="1"/>
  <c r="I131" i="1"/>
  <c r="I129" i="1"/>
  <c r="I159" i="1"/>
  <c r="I158" i="1"/>
  <c r="I153" i="1"/>
  <c r="I148" i="1"/>
  <c r="I150" i="1"/>
  <c r="I149" i="1"/>
  <c r="J36" i="1"/>
  <c r="K36" i="1"/>
  <c r="L36" i="1"/>
  <c r="M36" i="1"/>
  <c r="I36" i="1"/>
  <c r="I146" i="1"/>
  <c r="J34" i="1"/>
  <c r="K34" i="1"/>
  <c r="L34" i="1"/>
  <c r="M34" i="1"/>
  <c r="I34" i="1"/>
  <c r="I145" i="1"/>
  <c r="I144" i="1"/>
  <c r="I143" i="1"/>
  <c r="I142" i="1"/>
  <c r="I141" i="1"/>
  <c r="I136" i="1"/>
  <c r="I138" i="1"/>
  <c r="I137" i="1"/>
  <c r="I135" i="1"/>
  <c r="I134" i="1"/>
  <c r="I130" i="1"/>
  <c r="I128" i="1"/>
  <c r="I127" i="1"/>
  <c r="I126" i="1"/>
  <c r="I108" i="1"/>
  <c r="I106" i="1"/>
  <c r="I104" i="1"/>
  <c r="I102" i="1"/>
  <c r="I98" i="1"/>
  <c r="I96" i="1"/>
  <c r="I95" i="1"/>
  <c r="I90" i="1"/>
  <c r="I89" i="1"/>
  <c r="J33" i="1"/>
  <c r="K33" i="1"/>
  <c r="L33" i="1"/>
  <c r="M33" i="1"/>
  <c r="I87" i="1"/>
  <c r="I33" i="1"/>
  <c r="J32" i="1"/>
  <c r="K32" i="1"/>
  <c r="L32" i="1"/>
  <c r="M32" i="1"/>
  <c r="I32" i="1"/>
  <c r="J31" i="1"/>
  <c r="K31" i="1"/>
  <c r="L31" i="1"/>
  <c r="M31" i="1"/>
  <c r="I31" i="1"/>
  <c r="J30" i="1"/>
  <c r="K30" i="1"/>
  <c r="L30" i="1"/>
  <c r="M30" i="1"/>
  <c r="I30" i="1"/>
  <c r="J29" i="1"/>
  <c r="K29" i="1"/>
  <c r="L29" i="1"/>
  <c r="M29" i="1"/>
  <c r="I29" i="1"/>
  <c r="J26" i="1"/>
  <c r="K26" i="1"/>
  <c r="L26" i="1"/>
  <c r="M26" i="1"/>
  <c r="J27" i="1"/>
  <c r="K27" i="1"/>
  <c r="L27" i="1"/>
  <c r="M27" i="1"/>
  <c r="L28" i="1"/>
  <c r="M28" i="1"/>
  <c r="I28" i="1"/>
  <c r="I80" i="1" s="1"/>
  <c r="I79" i="1"/>
  <c r="I77" i="1"/>
  <c r="I27" i="1"/>
  <c r="I26" i="1"/>
  <c r="J25" i="1"/>
  <c r="K25" i="1"/>
  <c r="L25" i="1"/>
  <c r="M25" i="1"/>
  <c r="I25" i="1"/>
  <c r="J24" i="1"/>
  <c r="K24" i="1"/>
  <c r="L24" i="1"/>
  <c r="M24" i="1"/>
  <c r="I24" i="1"/>
  <c r="I124" i="1"/>
  <c r="I123" i="1"/>
  <c r="I122" i="1"/>
  <c r="I121" i="1"/>
  <c r="I120" i="1"/>
  <c r="I119" i="1"/>
  <c r="I118" i="1"/>
  <c r="I117" i="1"/>
  <c r="J23" i="1"/>
  <c r="K23" i="1"/>
  <c r="L23" i="1"/>
  <c r="M23" i="1"/>
  <c r="I23" i="1"/>
  <c r="J58" i="1"/>
  <c r="K58" i="1"/>
  <c r="L58" i="1"/>
  <c r="M58" i="1"/>
  <c r="I58" i="1"/>
  <c r="J57" i="1"/>
  <c r="K57" i="1"/>
  <c r="L57" i="1"/>
  <c r="M57" i="1"/>
  <c r="I57" i="1"/>
  <c r="J56" i="1"/>
  <c r="K56" i="1"/>
  <c r="L56" i="1"/>
  <c r="M56" i="1"/>
  <c r="I56" i="1"/>
  <c r="M205" i="1"/>
  <c r="J205" i="1"/>
  <c r="K199" i="1"/>
  <c r="L199" i="1"/>
  <c r="M199" i="1"/>
  <c r="J199" i="1"/>
  <c r="I199" i="1"/>
  <c r="J22" i="1"/>
  <c r="K22" i="1"/>
  <c r="L22" i="1"/>
  <c r="M22" i="1"/>
  <c r="I22" i="1"/>
  <c r="J21" i="1"/>
  <c r="K21" i="1"/>
  <c r="L21" i="1"/>
  <c r="M21" i="1"/>
  <c r="I21" i="1"/>
  <c r="I125" i="1" s="1"/>
  <c r="I20" i="1"/>
  <c r="I197" i="1" s="1"/>
  <c r="J20" i="1"/>
  <c r="J197" i="1" s="1"/>
  <c r="K20" i="1"/>
  <c r="K197" i="1" s="1"/>
  <c r="L20" i="1"/>
  <c r="L197" i="1" s="1"/>
  <c r="M20" i="1"/>
  <c r="M197" i="1" s="1"/>
  <c r="M19" i="1"/>
  <c r="M195" i="1" s="1"/>
  <c r="J19" i="1"/>
  <c r="J195" i="1" s="1"/>
  <c r="K19" i="1"/>
  <c r="K195" i="1" s="1"/>
  <c r="L19" i="1"/>
  <c r="L205" i="1" s="1"/>
  <c r="J10" i="1"/>
  <c r="K10" i="1"/>
  <c r="L10" i="1"/>
  <c r="M10" i="1"/>
  <c r="M18" i="1"/>
  <c r="M190" i="1" s="1"/>
  <c r="J18" i="1"/>
  <c r="J190" i="1" s="1"/>
  <c r="K18" i="1"/>
  <c r="K190" i="1" s="1"/>
  <c r="L18" i="1"/>
  <c r="L190" i="1" s="1"/>
  <c r="I18" i="1"/>
  <c r="I190" i="1" s="1"/>
  <c r="J17" i="1"/>
  <c r="K17" i="1"/>
  <c r="L17" i="1"/>
  <c r="M17" i="1"/>
  <c r="I17" i="1"/>
  <c r="J16" i="1"/>
  <c r="J173" i="1" s="1"/>
  <c r="J175" i="1" s="1"/>
  <c r="K16" i="1"/>
  <c r="K173" i="1" s="1"/>
  <c r="L16" i="1"/>
  <c r="L173" i="1" s="1"/>
  <c r="M16" i="1"/>
  <c r="M185" i="1" s="1"/>
  <c r="I16" i="1"/>
  <c r="I173" i="1" s="1"/>
  <c r="I178" i="1"/>
  <c r="M174" i="1"/>
  <c r="M179" i="1" s="1"/>
  <c r="L174" i="1"/>
  <c r="L179" i="1" s="1"/>
  <c r="K174" i="1"/>
  <c r="K179" i="1" s="1"/>
  <c r="J174" i="1"/>
  <c r="J179" i="1" s="1"/>
  <c r="I174" i="1"/>
  <c r="I179" i="1" s="1"/>
  <c r="J15" i="1"/>
  <c r="K15" i="1"/>
  <c r="L15" i="1"/>
  <c r="M15" i="1"/>
  <c r="I15" i="1"/>
  <c r="H167" i="1"/>
  <c r="L168" i="1"/>
  <c r="M168" i="1"/>
  <c r="J168" i="1"/>
  <c r="K168" i="1"/>
  <c r="I168" i="1"/>
  <c r="H168" i="1"/>
  <c r="H159" i="1"/>
  <c r="H158" i="1"/>
  <c r="G159" i="1"/>
  <c r="G158" i="1"/>
  <c r="F159" i="1"/>
  <c r="F158" i="1"/>
  <c r="H150" i="1"/>
  <c r="H149" i="1"/>
  <c r="H148" i="1"/>
  <c r="H147" i="1"/>
  <c r="H146" i="1"/>
  <c r="H144" i="1"/>
  <c r="H143" i="1"/>
  <c r="H142" i="1"/>
  <c r="H141" i="1"/>
  <c r="G150" i="1"/>
  <c r="G149" i="1"/>
  <c r="G148" i="1"/>
  <c r="G147" i="1"/>
  <c r="G146" i="1"/>
  <c r="G145" i="1"/>
  <c r="G144" i="1"/>
  <c r="G143" i="1"/>
  <c r="G142" i="1"/>
  <c r="G141" i="1"/>
  <c r="F153" i="1"/>
  <c r="F150" i="1"/>
  <c r="F149" i="1"/>
  <c r="F148" i="1"/>
  <c r="F147" i="1"/>
  <c r="F146" i="1"/>
  <c r="F145" i="1"/>
  <c r="F144" i="1"/>
  <c r="F143" i="1"/>
  <c r="F142" i="1"/>
  <c r="F141" i="1"/>
  <c r="H138" i="1"/>
  <c r="H137" i="1"/>
  <c r="H136" i="1"/>
  <c r="H135" i="1"/>
  <c r="H134" i="1"/>
  <c r="G138" i="1"/>
  <c r="G137" i="1"/>
  <c r="G136" i="1"/>
  <c r="G135" i="1"/>
  <c r="G134" i="1"/>
  <c r="F138" i="1"/>
  <c r="F137" i="1"/>
  <c r="F136" i="1"/>
  <c r="F135" i="1"/>
  <c r="F134" i="1"/>
  <c r="H126" i="1"/>
  <c r="H128" i="1"/>
  <c r="H131" i="1"/>
  <c r="H130" i="1"/>
  <c r="H129" i="1"/>
  <c r="H127" i="1"/>
  <c r="H125" i="1"/>
  <c r="H124" i="1"/>
  <c r="H123" i="1"/>
  <c r="H122" i="1"/>
  <c r="H121" i="1"/>
  <c r="H120" i="1"/>
  <c r="H119" i="1"/>
  <c r="H118" i="1"/>
  <c r="H117" i="1"/>
  <c r="H116" i="1"/>
  <c r="G131" i="1"/>
  <c r="G130" i="1"/>
  <c r="G129" i="1"/>
  <c r="G128" i="1"/>
  <c r="G127" i="1"/>
  <c r="G126" i="1"/>
  <c r="G125" i="1"/>
  <c r="G124" i="1"/>
  <c r="G123" i="1"/>
  <c r="F123" i="1"/>
  <c r="F128" i="1"/>
  <c r="F131" i="1"/>
  <c r="F130" i="1"/>
  <c r="F129" i="1"/>
  <c r="F127" i="1"/>
  <c r="F126" i="1"/>
  <c r="F125" i="1"/>
  <c r="F124" i="1"/>
  <c r="F122" i="1"/>
  <c r="G122" i="1"/>
  <c r="G121" i="1"/>
  <c r="G120" i="1"/>
  <c r="G119" i="1"/>
  <c r="G118" i="1"/>
  <c r="G117" i="1"/>
  <c r="G116" i="1"/>
  <c r="F121" i="1"/>
  <c r="F120" i="1"/>
  <c r="F117" i="1"/>
  <c r="F119" i="1"/>
  <c r="F118" i="1"/>
  <c r="F116" i="1"/>
  <c r="H108" i="1"/>
  <c r="H106" i="1"/>
  <c r="H105" i="1"/>
  <c r="H104" i="1"/>
  <c r="H103" i="1"/>
  <c r="G108" i="1"/>
  <c r="G106" i="1"/>
  <c r="G105" i="1"/>
  <c r="G104" i="1"/>
  <c r="G103" i="1"/>
  <c r="F108" i="1"/>
  <c r="F106" i="1"/>
  <c r="F105" i="1"/>
  <c r="F104" i="1"/>
  <c r="F103" i="1"/>
  <c r="H98" i="1"/>
  <c r="H97" i="1"/>
  <c r="I189" i="1" s="1"/>
  <c r="H96" i="1"/>
  <c r="H95" i="1"/>
  <c r="H94" i="1"/>
  <c r="H93" i="1"/>
  <c r="H90" i="1"/>
  <c r="H89" i="1"/>
  <c r="H88" i="1"/>
  <c r="I194" i="1" s="1"/>
  <c r="H87" i="1"/>
  <c r="H86" i="1"/>
  <c r="H85" i="1"/>
  <c r="H84" i="1"/>
  <c r="H83" i="1"/>
  <c r="G98" i="1"/>
  <c r="G97" i="1"/>
  <c r="G96" i="1"/>
  <c r="G95" i="1"/>
  <c r="G94" i="1"/>
  <c r="G93" i="1"/>
  <c r="G90" i="1"/>
  <c r="G89" i="1"/>
  <c r="G88" i="1"/>
  <c r="G87" i="1"/>
  <c r="G86" i="1"/>
  <c r="G85" i="1"/>
  <c r="G84" i="1"/>
  <c r="G83" i="1"/>
  <c r="F98" i="1"/>
  <c r="F97" i="1"/>
  <c r="F96" i="1"/>
  <c r="F95" i="1"/>
  <c r="F94" i="1"/>
  <c r="F93" i="1"/>
  <c r="F90" i="1"/>
  <c r="F89" i="1"/>
  <c r="F88" i="1"/>
  <c r="F87" i="1"/>
  <c r="F86" i="1"/>
  <c r="F85" i="1"/>
  <c r="F84" i="1"/>
  <c r="F83" i="1"/>
  <c r="H80" i="1"/>
  <c r="H79" i="1"/>
  <c r="H78" i="1"/>
  <c r="H77" i="1"/>
  <c r="H76" i="1"/>
  <c r="I204" i="1" s="1"/>
  <c r="H75" i="1"/>
  <c r="I183" i="1" s="1"/>
  <c r="H74" i="1"/>
  <c r="G80" i="1"/>
  <c r="G79" i="1"/>
  <c r="G78" i="1"/>
  <c r="G77" i="1"/>
  <c r="G76" i="1"/>
  <c r="G75" i="1"/>
  <c r="G74" i="1"/>
  <c r="F80" i="1"/>
  <c r="J28" i="1" s="1"/>
  <c r="F79" i="1"/>
  <c r="F78" i="1"/>
  <c r="F77" i="1"/>
  <c r="F76" i="1"/>
  <c r="F75" i="1"/>
  <c r="F74" i="1"/>
  <c r="F46" i="1"/>
  <c r="G46" i="1"/>
  <c r="H46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H71" i="1"/>
  <c r="H70" i="1"/>
  <c r="H69" i="1"/>
  <c r="H68" i="1"/>
  <c r="I68" i="1" s="1"/>
  <c r="H67" i="1"/>
  <c r="G67" i="1"/>
  <c r="G71" i="1"/>
  <c r="G70" i="1"/>
  <c r="G69" i="1"/>
  <c r="G68" i="1"/>
  <c r="F71" i="1"/>
  <c r="F70" i="1"/>
  <c r="F69" i="1"/>
  <c r="F68" i="1"/>
  <c r="F67" i="1"/>
  <c r="H60" i="1"/>
  <c r="H55" i="1"/>
  <c r="H58" i="1"/>
  <c r="H57" i="1"/>
  <c r="H56" i="1"/>
  <c r="G60" i="1"/>
  <c r="G58" i="1"/>
  <c r="G57" i="1"/>
  <c r="G56" i="1"/>
  <c r="G55" i="1"/>
  <c r="F60" i="1"/>
  <c r="F58" i="1"/>
  <c r="F57" i="1"/>
  <c r="F56" i="1"/>
  <c r="F55" i="1"/>
  <c r="M12" i="1"/>
  <c r="M13" i="1"/>
  <c r="M14" i="1"/>
  <c r="J12" i="1"/>
  <c r="K12" i="1"/>
  <c r="L12" i="1"/>
  <c r="J13" i="1"/>
  <c r="K13" i="1"/>
  <c r="L13" i="1"/>
  <c r="J14" i="1"/>
  <c r="K14" i="1"/>
  <c r="L14" i="1"/>
  <c r="J49" i="1"/>
  <c r="K49" i="1"/>
  <c r="L49" i="1"/>
  <c r="M49" i="1"/>
  <c r="J50" i="1"/>
  <c r="K50" i="1"/>
  <c r="L50" i="1"/>
  <c r="M50" i="1"/>
  <c r="J51" i="1"/>
  <c r="K51" i="1"/>
  <c r="L51" i="1"/>
  <c r="M51" i="1"/>
  <c r="I51" i="1"/>
  <c r="I50" i="1"/>
  <c r="I49" i="1"/>
  <c r="I14" i="1"/>
  <c r="I13" i="1"/>
  <c r="I12" i="1"/>
  <c r="H43" i="1"/>
  <c r="H42" i="1"/>
  <c r="H40" i="1"/>
  <c r="G43" i="1"/>
  <c r="G42" i="1"/>
  <c r="G41" i="1"/>
  <c r="I9" i="1" s="1"/>
  <c r="I41" i="1" s="1"/>
  <c r="G40" i="1"/>
  <c r="F41" i="1"/>
  <c r="F40" i="1"/>
  <c r="I10" i="1"/>
  <c r="M151" i="1" l="1"/>
  <c r="M152" i="1" s="1"/>
  <c r="L151" i="1"/>
  <c r="L152" i="1" s="1"/>
  <c r="K151" i="1"/>
  <c r="K152" i="1" s="1"/>
  <c r="K154" i="1" s="1"/>
  <c r="L153" i="1" s="1"/>
  <c r="J103" i="1"/>
  <c r="K103" i="1"/>
  <c r="L103" i="1" s="1"/>
  <c r="M103" i="1" s="1"/>
  <c r="J107" i="1"/>
  <c r="J109" i="1" s="1"/>
  <c r="M132" i="1"/>
  <c r="L132" i="1"/>
  <c r="K107" i="1"/>
  <c r="K109" i="1" s="1"/>
  <c r="L102" i="1"/>
  <c r="L74" i="1"/>
  <c r="I103" i="1"/>
  <c r="I151" i="1"/>
  <c r="I107" i="1"/>
  <c r="I109" i="1" s="1"/>
  <c r="I139" i="1"/>
  <c r="K205" i="1"/>
  <c r="L175" i="1"/>
  <c r="K175" i="1"/>
  <c r="I195" i="1"/>
  <c r="I198" i="1" s="1"/>
  <c r="L195" i="1"/>
  <c r="I196" i="1"/>
  <c r="I206" i="1" s="1"/>
  <c r="K28" i="1"/>
  <c r="I207" i="1"/>
  <c r="I76" i="1" s="1"/>
  <c r="J185" i="1"/>
  <c r="K185" i="1"/>
  <c r="I175" i="1"/>
  <c r="I116" i="1" s="1"/>
  <c r="I180" i="1"/>
  <c r="J178" i="1" s="1"/>
  <c r="J180" i="1" s="1"/>
  <c r="I191" i="1"/>
  <c r="I97" i="1" s="1"/>
  <c r="J184" i="1"/>
  <c r="L185" i="1"/>
  <c r="F151" i="1"/>
  <c r="K184" i="1"/>
  <c r="M173" i="1"/>
  <c r="M175" i="1" s="1"/>
  <c r="I184" i="1"/>
  <c r="M184" i="1"/>
  <c r="L184" i="1"/>
  <c r="I185" i="1"/>
  <c r="H139" i="1"/>
  <c r="H151" i="1"/>
  <c r="H169" i="1"/>
  <c r="I167" i="1" s="1"/>
  <c r="G151" i="1"/>
  <c r="G139" i="1"/>
  <c r="F139" i="1"/>
  <c r="H107" i="1"/>
  <c r="H109" i="1" s="1"/>
  <c r="G107" i="1"/>
  <c r="G109" i="1" s="1"/>
  <c r="H91" i="1"/>
  <c r="H99" i="1" s="1"/>
  <c r="F107" i="1"/>
  <c r="F109" i="1" s="1"/>
  <c r="G72" i="1"/>
  <c r="G81" i="1" s="1"/>
  <c r="G91" i="1"/>
  <c r="G99" i="1" s="1"/>
  <c r="F91" i="1"/>
  <c r="F99" i="1" s="1"/>
  <c r="G52" i="1"/>
  <c r="H44" i="1"/>
  <c r="F44" i="1"/>
  <c r="G44" i="1"/>
  <c r="F52" i="1"/>
  <c r="I42" i="1"/>
  <c r="J42" i="1" s="1"/>
  <c r="K42" i="1" s="1"/>
  <c r="L42" i="1" s="1"/>
  <c r="M42" i="1" s="1"/>
  <c r="I11" i="1"/>
  <c r="I43" i="1" s="1"/>
  <c r="J11" i="1" s="1"/>
  <c r="J43" i="1" s="1"/>
  <c r="K11" i="1" s="1"/>
  <c r="K43" i="1" s="1"/>
  <c r="I8" i="1"/>
  <c r="I40" i="1" s="1"/>
  <c r="J8" i="1" s="1"/>
  <c r="H72" i="1"/>
  <c r="H81" i="1" s="1"/>
  <c r="H52" i="1"/>
  <c r="F72" i="1"/>
  <c r="F81" i="1" s="1"/>
  <c r="J9" i="1"/>
  <c r="J41" i="1" s="1"/>
  <c r="I47" i="1"/>
  <c r="L154" i="1" l="1"/>
  <c r="M153" i="1" s="1"/>
  <c r="M154" i="1"/>
  <c r="L107" i="1"/>
  <c r="L109" i="1" s="1"/>
  <c r="M102" i="1"/>
  <c r="M107" i="1" s="1"/>
  <c r="M109" i="1" s="1"/>
  <c r="M74" i="1"/>
  <c r="J204" i="1"/>
  <c r="J194" i="1"/>
  <c r="I200" i="1"/>
  <c r="J189" i="1"/>
  <c r="J191" i="1" s="1"/>
  <c r="I78" i="1"/>
  <c r="I186" i="1"/>
  <c r="J183" i="1" s="1"/>
  <c r="J186" i="1" s="1"/>
  <c r="I75" i="1"/>
  <c r="K178" i="1"/>
  <c r="K180" i="1" s="1"/>
  <c r="I169" i="1"/>
  <c r="I170" i="1"/>
  <c r="I55" i="1" s="1"/>
  <c r="F110" i="1"/>
  <c r="G54" i="1"/>
  <c r="G59" i="1" s="1"/>
  <c r="G61" i="1" s="1"/>
  <c r="G115" i="1" s="1"/>
  <c r="G132" i="1" s="1"/>
  <c r="G152" i="1" s="1"/>
  <c r="H110" i="1"/>
  <c r="G110" i="1"/>
  <c r="F54" i="1"/>
  <c r="F59" i="1" s="1"/>
  <c r="F61" i="1" s="1"/>
  <c r="F115" i="1" s="1"/>
  <c r="F132" i="1" s="1"/>
  <c r="F152" i="1" s="1"/>
  <c r="F154" i="1" s="1"/>
  <c r="H54" i="1"/>
  <c r="H59" i="1" s="1"/>
  <c r="H61" i="1" s="1"/>
  <c r="H115" i="1" s="1"/>
  <c r="H132" i="1" s="1"/>
  <c r="H152" i="1" s="1"/>
  <c r="I44" i="1"/>
  <c r="I86" i="1" s="1"/>
  <c r="I46" i="1"/>
  <c r="J40" i="1"/>
  <c r="K8" i="1" s="1"/>
  <c r="K40" i="1" s="1"/>
  <c r="L8" i="1" s="1"/>
  <c r="L40" i="1" s="1"/>
  <c r="J47" i="1"/>
  <c r="I85" i="1" s="1"/>
  <c r="K9" i="1"/>
  <c r="K41" i="1" s="1"/>
  <c r="K47" i="1" s="1"/>
  <c r="L11" i="1"/>
  <c r="L43" i="1" s="1"/>
  <c r="I70" i="1" l="1"/>
  <c r="I83" i="1"/>
  <c r="I71" i="1"/>
  <c r="I84" i="1"/>
  <c r="I48" i="1"/>
  <c r="I52" i="1" s="1"/>
  <c r="I54" i="1" s="1"/>
  <c r="I59" i="1" s="1"/>
  <c r="I69" i="1"/>
  <c r="G153" i="1"/>
  <c r="G154" i="1" s="1"/>
  <c r="F157" i="1"/>
  <c r="F160" i="1" s="1"/>
  <c r="J196" i="1"/>
  <c r="J206" i="1" s="1"/>
  <c r="J207" i="1" s="1"/>
  <c r="J76" i="1" s="1"/>
  <c r="K189" i="1"/>
  <c r="K191" i="1" s="1"/>
  <c r="L189" i="1" s="1"/>
  <c r="L191" i="1" s="1"/>
  <c r="I201" i="1"/>
  <c r="I93" i="1" s="1"/>
  <c r="I88" i="1"/>
  <c r="I91" i="1" s="1"/>
  <c r="K183" i="1"/>
  <c r="K186" i="1" s="1"/>
  <c r="K46" i="1"/>
  <c r="J167" i="1"/>
  <c r="I94" i="1"/>
  <c r="L178" i="1"/>
  <c r="L180" i="1" s="1"/>
  <c r="K44" i="1"/>
  <c r="K48" i="1" s="1"/>
  <c r="J46" i="1"/>
  <c r="J44" i="1"/>
  <c r="J48" i="1" s="1"/>
  <c r="L9" i="1"/>
  <c r="L41" i="1" s="1"/>
  <c r="L47" i="1" s="1"/>
  <c r="L46" i="1"/>
  <c r="M11" i="1"/>
  <c r="M43" i="1" s="1"/>
  <c r="M8" i="1"/>
  <c r="M40" i="1" s="1"/>
  <c r="I99" i="1" l="1"/>
  <c r="I110" i="1" s="1"/>
  <c r="K204" i="1"/>
  <c r="J198" i="1"/>
  <c r="G157" i="1"/>
  <c r="G160" i="1" s="1"/>
  <c r="H153" i="1"/>
  <c r="H154" i="1" s="1"/>
  <c r="H157" i="1" s="1"/>
  <c r="H160" i="1" s="1"/>
  <c r="I60" i="1"/>
  <c r="I61" i="1" s="1"/>
  <c r="I115" i="1" s="1"/>
  <c r="I132" i="1" s="1"/>
  <c r="I152" i="1" s="1"/>
  <c r="I154" i="1" s="1"/>
  <c r="I157" i="1" s="1"/>
  <c r="I160" i="1" s="1"/>
  <c r="I67" i="1" s="1"/>
  <c r="I72" i="1" s="1"/>
  <c r="I81" i="1" s="1"/>
  <c r="K52" i="1"/>
  <c r="K54" i="1" s="1"/>
  <c r="L183" i="1"/>
  <c r="L186" i="1" s="1"/>
  <c r="M183" i="1" s="1"/>
  <c r="M186" i="1" s="1"/>
  <c r="J52" i="1"/>
  <c r="J54" i="1" s="1"/>
  <c r="M189" i="1"/>
  <c r="M191" i="1" s="1"/>
  <c r="M178" i="1"/>
  <c r="M180" i="1" s="1"/>
  <c r="J169" i="1"/>
  <c r="J170" i="1"/>
  <c r="J55" i="1" s="1"/>
  <c r="M9" i="1"/>
  <c r="M41" i="1" s="1"/>
  <c r="M47" i="1" s="1"/>
  <c r="L44" i="1"/>
  <c r="L48" i="1" s="1"/>
  <c r="L52" i="1" s="1"/>
  <c r="L54" i="1" s="1"/>
  <c r="M46" i="1"/>
  <c r="I112" i="1" l="1"/>
  <c r="I3" i="1" s="1"/>
  <c r="J200" i="1"/>
  <c r="J88" i="1" s="1"/>
  <c r="J91" i="1" s="1"/>
  <c r="K194" i="1"/>
  <c r="J59" i="1"/>
  <c r="K167" i="1"/>
  <c r="M44" i="1"/>
  <c r="M48" i="1" s="1"/>
  <c r="M52" i="1" s="1"/>
  <c r="M54" i="1" s="1"/>
  <c r="J99" i="1" l="1"/>
  <c r="J110" i="1" s="1"/>
  <c r="J60" i="1"/>
  <c r="J61" i="1" s="1"/>
  <c r="J67" i="1" s="1"/>
  <c r="J72" i="1" s="1"/>
  <c r="J81" i="1" s="1"/>
  <c r="K196" i="1"/>
  <c r="K206" i="1" s="1"/>
  <c r="K207" i="1" s="1"/>
  <c r="K76" i="1" s="1"/>
  <c r="J201" i="1"/>
  <c r="J93" i="1" s="1"/>
  <c r="K169" i="1"/>
  <c r="K170" i="1" s="1"/>
  <c r="K55" i="1" s="1"/>
  <c r="K59" i="1" s="1"/>
  <c r="J112" i="1" l="1"/>
  <c r="J3" i="1" s="1"/>
  <c r="K198" i="1"/>
  <c r="K200" i="1" s="1"/>
  <c r="K88" i="1" s="1"/>
  <c r="K91" i="1" s="1"/>
  <c r="L204" i="1"/>
  <c r="K60" i="1"/>
  <c r="K61" i="1" s="1"/>
  <c r="K67" i="1" s="1"/>
  <c r="K72" i="1" s="1"/>
  <c r="K81" i="1" s="1"/>
  <c r="L167" i="1"/>
  <c r="L194" i="1" l="1"/>
  <c r="L196" i="1" s="1"/>
  <c r="K201" i="1"/>
  <c r="K93" i="1" s="1"/>
  <c r="K99" i="1" s="1"/>
  <c r="K110" i="1" s="1"/>
  <c r="K112" i="1" s="1"/>
  <c r="K3" i="1" s="1"/>
  <c r="L198" i="1"/>
  <c r="L206" i="1"/>
  <c r="L207" i="1"/>
  <c r="L76" i="1" s="1"/>
  <c r="L169" i="1"/>
  <c r="L170" i="1" s="1"/>
  <c r="L55" i="1" s="1"/>
  <c r="L59" i="1" s="1"/>
  <c r="M204" i="1" l="1"/>
  <c r="M194" i="1"/>
  <c r="L200" i="1"/>
  <c r="L88" i="1" s="1"/>
  <c r="L91" i="1" s="1"/>
  <c r="L60" i="1"/>
  <c r="L61" i="1" s="1"/>
  <c r="L67" i="1" s="1"/>
  <c r="L72" i="1" s="1"/>
  <c r="L81" i="1" s="1"/>
  <c r="M167" i="1"/>
  <c r="M196" i="1" l="1"/>
  <c r="M206" i="1" s="1"/>
  <c r="M207" i="1" s="1"/>
  <c r="M76" i="1" s="1"/>
  <c r="L201" i="1"/>
  <c r="L93" i="1" s="1"/>
  <c r="L99" i="1" s="1"/>
  <c r="L110" i="1" s="1"/>
  <c r="L112" i="1" s="1"/>
  <c r="L3" i="1" s="1"/>
  <c r="M169" i="1"/>
  <c r="M198" i="1" l="1"/>
  <c r="M200" i="1" s="1"/>
  <c r="M88" i="1" s="1"/>
  <c r="M91" i="1" s="1"/>
  <c r="M170" i="1"/>
  <c r="M55" i="1" s="1"/>
  <c r="M59" i="1" s="1"/>
  <c r="M60" i="1" l="1"/>
  <c r="M61" i="1" s="1"/>
  <c r="M67" i="1" s="1"/>
  <c r="M72" i="1" s="1"/>
  <c r="M81" i="1" s="1"/>
  <c r="M201" i="1"/>
  <c r="M93" i="1" s="1"/>
  <c r="M99" i="1" s="1"/>
  <c r="M110" i="1" s="1"/>
  <c r="M112" i="1" l="1"/>
  <c r="M3" i="1" s="1"/>
</calcChain>
</file>

<file path=xl/sharedStrings.xml><?xml version="1.0" encoding="utf-8"?>
<sst xmlns="http://schemas.openxmlformats.org/spreadsheetml/2006/main" count="215" uniqueCount="190">
  <si>
    <t>Assumptions</t>
  </si>
  <si>
    <t>Key Assumptions</t>
  </si>
  <si>
    <t>2026F</t>
  </si>
  <si>
    <t>2027F</t>
  </si>
  <si>
    <t>2028F</t>
  </si>
  <si>
    <t>2029F</t>
  </si>
  <si>
    <t>2030F</t>
  </si>
  <si>
    <t xml:space="preserve">Product Revenue </t>
  </si>
  <si>
    <t>Premiums Revenue</t>
  </si>
  <si>
    <t>Services Revenue</t>
  </si>
  <si>
    <t>Cost of Product Sold</t>
  </si>
  <si>
    <t>Health Care Costs</t>
  </si>
  <si>
    <t>Operating Expenses</t>
  </si>
  <si>
    <t>Income Statement</t>
  </si>
  <si>
    <t>Premiums</t>
  </si>
  <si>
    <t>Services</t>
  </si>
  <si>
    <t>Product</t>
  </si>
  <si>
    <t>Goodwill Impairment</t>
  </si>
  <si>
    <t>Loss On Assets Held For Sale</t>
  </si>
  <si>
    <t>Total Operating Costs</t>
  </si>
  <si>
    <t>Operating Income</t>
  </si>
  <si>
    <t>Interest Expense</t>
  </si>
  <si>
    <t>Gain On Early Extinguishment Of Debt</t>
  </si>
  <si>
    <t>Other Income</t>
  </si>
  <si>
    <t>Income Before Tax Provision</t>
  </si>
  <si>
    <t>Income Tax Provision</t>
  </si>
  <si>
    <t>Net Income</t>
  </si>
  <si>
    <t>Balance Sheet</t>
  </si>
  <si>
    <t>Assets</t>
  </si>
  <si>
    <t>Investment</t>
  </si>
  <si>
    <t>Inventories</t>
  </si>
  <si>
    <t>Other Current Assets</t>
  </si>
  <si>
    <t>Total Current Assets</t>
  </si>
  <si>
    <t>Long-Term Investments</t>
  </si>
  <si>
    <t>PPE</t>
  </si>
  <si>
    <t>Goodwill</t>
  </si>
  <si>
    <t>Intangible Assets, Net</t>
  </si>
  <si>
    <t>Separate Accounts Assets</t>
  </si>
  <si>
    <t>Other Assets</t>
  </si>
  <si>
    <t>Total Assets</t>
  </si>
  <si>
    <t>Accounts Payable</t>
  </si>
  <si>
    <t>Pharmacy Claims And Discounts</t>
  </si>
  <si>
    <t>Health Care Cost Payable</t>
  </si>
  <si>
    <t>Accrued Expenses And Other Current Liabilities</t>
  </si>
  <si>
    <t>Other Insurance Liabilities</t>
  </si>
  <si>
    <t>Short Term Debt</t>
  </si>
  <si>
    <t>Current Portion of Long-Term Debt</t>
  </si>
  <si>
    <t>Total Current Liabilities</t>
  </si>
  <si>
    <t>Long-Term Operating Lease Liabilities</t>
  </si>
  <si>
    <t>Long-Term Debt</t>
  </si>
  <si>
    <t>Deferred Income Taxes</t>
  </si>
  <si>
    <t>Separate Accounts Liabilities</t>
  </si>
  <si>
    <t>Other Long-Term Insurance Liabilities</t>
  </si>
  <si>
    <t>Current Portion Of Operating Lease Liabilities</t>
  </si>
  <si>
    <t>Other Long-Term Liabilities</t>
  </si>
  <si>
    <t>Shareholders Equity</t>
  </si>
  <si>
    <t>Common Stock</t>
  </si>
  <si>
    <t xml:space="preserve">Treasury Stock </t>
  </si>
  <si>
    <t>Retained Earnings</t>
  </si>
  <si>
    <t>Total CVS Health Shareholders Equity</t>
  </si>
  <si>
    <t>Noncontrolling Interests</t>
  </si>
  <si>
    <t>Total Shareholders Equity</t>
  </si>
  <si>
    <t>Cash Flow</t>
  </si>
  <si>
    <t>Loss On Asset Held For Sale</t>
  </si>
  <si>
    <t>Stock Based Compensation</t>
  </si>
  <si>
    <t>Accounts Receivable, Net</t>
  </si>
  <si>
    <t>Health Care Costs Payable And Other Insurance Liabilities</t>
  </si>
  <si>
    <t>Other Liabilities</t>
  </si>
  <si>
    <t>Net Cash</t>
  </si>
  <si>
    <t>Other Items Lease Cash Flow Adjustment</t>
  </si>
  <si>
    <t>Proceeds From Sales and  Maturities</t>
  </si>
  <si>
    <t xml:space="preserve">Purchase Of Investment </t>
  </si>
  <si>
    <t>Purchase Of Property And Equipment</t>
  </si>
  <si>
    <t>Other</t>
  </si>
  <si>
    <t>Repayment Of Short Term Loan</t>
  </si>
  <si>
    <t>Repurchase Of Common Stock</t>
  </si>
  <si>
    <t>Dividends Paid</t>
  </si>
  <si>
    <t>Proceeds From Exercise Of Stock Options</t>
  </si>
  <si>
    <t>Repayment Of Long Term Debt</t>
  </si>
  <si>
    <t>Cash And Equivalents</t>
  </si>
  <si>
    <t>RC Current Assets</t>
  </si>
  <si>
    <t>RC Other Assets</t>
  </si>
  <si>
    <t>Supporting Schedules</t>
  </si>
  <si>
    <t>Debt Schedule</t>
  </si>
  <si>
    <t>Long Term Debt</t>
  </si>
  <si>
    <t>Interest Rate</t>
  </si>
  <si>
    <t>D&amp;A</t>
  </si>
  <si>
    <t>Amortization</t>
  </si>
  <si>
    <t>Total</t>
  </si>
  <si>
    <t xml:space="preserve">Start </t>
  </si>
  <si>
    <t xml:space="preserve">Ending </t>
  </si>
  <si>
    <t>PPE Opening</t>
  </si>
  <si>
    <t>Capex</t>
  </si>
  <si>
    <t>Depreciation</t>
  </si>
  <si>
    <t>PPE Closing</t>
  </si>
  <si>
    <t>CapEx</t>
  </si>
  <si>
    <t>Opening Balance</t>
  </si>
  <si>
    <t>Closing Balance</t>
  </si>
  <si>
    <t>Other Long-Term Insurance Liabilities Percent</t>
  </si>
  <si>
    <t>Cash Paid For Operating leases 3-year Avg</t>
  </si>
  <si>
    <t>Operating Lease Cost 3-year Avg</t>
  </si>
  <si>
    <t>Weighted Average Discount Rate</t>
  </si>
  <si>
    <t>Beginning ROU Asset</t>
  </si>
  <si>
    <t>ROU Asset</t>
  </si>
  <si>
    <t>Estimated ROU Amortization</t>
  </si>
  <si>
    <t>Ending ROU Asset</t>
  </si>
  <si>
    <t>Long-Term Operating Lease Liability</t>
  </si>
  <si>
    <t>Beginning Total Lease Liability</t>
  </si>
  <si>
    <t>New Lease Obligations</t>
  </si>
  <si>
    <t>Interest Accretion</t>
  </si>
  <si>
    <t>Cash Paid For Operating Lease liabilities</t>
  </si>
  <si>
    <t>Current Portion As % of Total</t>
  </si>
  <si>
    <t>Current Operating Lease Liability</t>
  </si>
  <si>
    <t>Ending Total Lease Liabilities</t>
  </si>
  <si>
    <t>Tax Provision</t>
  </si>
  <si>
    <t>Investment Assumption</t>
  </si>
  <si>
    <t xml:space="preserve">Pharmacy Claims </t>
  </si>
  <si>
    <t>Health Care Costs Payable</t>
  </si>
  <si>
    <t>Accrued Expenses Percent</t>
  </si>
  <si>
    <t>Per Share</t>
  </si>
  <si>
    <t>Shares</t>
  </si>
  <si>
    <t>Check</t>
  </si>
  <si>
    <t xml:space="preserve">CVS Pharmacy </t>
  </si>
  <si>
    <t xml:space="preserve"> </t>
  </si>
  <si>
    <t>Historical Results</t>
  </si>
  <si>
    <t>Forecast Period</t>
  </si>
  <si>
    <t>Balance Sheet Check</t>
  </si>
  <si>
    <t>Total Revenue</t>
  </si>
  <si>
    <t>Restructuring Charges</t>
  </si>
  <si>
    <t>Gain On Deconsolidation Of Subsidiary</t>
  </si>
  <si>
    <t>Cash And Cash Equivalents</t>
  </si>
  <si>
    <t>Total Liabilities</t>
  </si>
  <si>
    <t>Preferred Stock</t>
  </si>
  <si>
    <t>Acquisitions</t>
  </si>
  <si>
    <t>Commercial Paper Borrowings, Net</t>
  </si>
  <si>
    <t>Proceeds From Issuance Of Long Term Debt</t>
  </si>
  <si>
    <t>Proceeds From Issuance Of Short Term Loan</t>
  </si>
  <si>
    <t>Beginning Cash</t>
  </si>
  <si>
    <t>Ending Cash</t>
  </si>
  <si>
    <t>New Lease ROU Assets</t>
  </si>
  <si>
    <t>Net Investment</t>
  </si>
  <si>
    <t>Depreciation &amp; Amortization</t>
  </si>
  <si>
    <t>New Lease ROU Assets 3-year Avg</t>
  </si>
  <si>
    <t>Other Insurance Liabilities (%)</t>
  </si>
  <si>
    <t>Accumulated Other Comprehensive Income</t>
  </si>
  <si>
    <t>Loss on Sale Of Subsidiary</t>
  </si>
  <si>
    <t>Gain on Early Extinguishment Of Debt</t>
  </si>
  <si>
    <t>Gain on Deconsolidation of Subsidiary</t>
  </si>
  <si>
    <t>Accounts Payable and Pharmacy</t>
  </si>
  <si>
    <t>Payments For Taxes Related To Net Share Settlement of Equity Awards</t>
  </si>
  <si>
    <t>Depreciation Schedule</t>
  </si>
  <si>
    <t>Percentage</t>
  </si>
  <si>
    <t>Account Receivable (Days)</t>
  </si>
  <si>
    <t>Account Payable (Days)</t>
  </si>
  <si>
    <t>Inventory (Days)</t>
  </si>
  <si>
    <t>Stock Repurchases</t>
  </si>
  <si>
    <t>Total Liabilities and Shareholders' Equity</t>
  </si>
  <si>
    <t>Operating Lease Right-Of-Use Asset</t>
  </si>
  <si>
    <t>Uses 27 accounts payable days, based on the 2023-2025 average. Forecast accounts payable equals cost of product sold x days / 365.</t>
  </si>
  <si>
    <t>Forecast product revenue grows approximately 8% annually, using the 2025-over-2024 growth rate.</t>
  </si>
  <si>
    <t>Assumes services revenue grows 2% annually.</t>
  </si>
  <si>
    <t>Forecast net investment revenue grows approximately 4% annually, using the 2025-over-2024 growth rate.</t>
  </si>
  <si>
    <t>Forecast premium revenue grows approximately 10% annually, using the 2025-over-2024 growth rate.</t>
  </si>
  <si>
    <t>Cost of product sold averaged 88.7% of product revenue over 2023-2025.</t>
  </si>
  <si>
    <t>Health care costs averaged 91.3% of premium revenue over 2023-2025.</t>
  </si>
  <si>
    <t>Operating expenses averaged 11.2% of total revenue over 2023-2025.</t>
  </si>
  <si>
    <t>$923 million is the 2023-2025  average of new operating lease right-of-use assets recognized in exchange for lease obligations.</t>
  </si>
  <si>
    <t>Assumes other long-term insurance liabilities decline 3.8% annually, matching the 2024-2025 decline.</t>
  </si>
  <si>
    <t>$2453 million is the 2023-2025 average operating lease cost.</t>
  </si>
  <si>
    <t>Uses a 4.7% weighted-average discount rate for forecast operating lease liabilities.</t>
  </si>
  <si>
    <t>Forecasts other current assets at 1% of total revenue, the 2023-2025 average.</t>
  </si>
  <si>
    <t>Uses the annualized 2023-2025 growth rate in other assets (approximately 4.8%) for each  forecast year.</t>
  </si>
  <si>
    <t>Forecasts accrued expenses and other current liabilities at 5.6% of total revenue, based on the 2023-2025 average.</t>
  </si>
  <si>
    <t>Forecasts other insurance liabilities at approximately  1% of health care costs, based on the 2023-2025 average.</t>
  </si>
  <si>
    <t>Assumes  shares outstanding remain constant at 1,278,970,369 throughout the forecast period.</t>
  </si>
  <si>
    <t>in millions</t>
  </si>
  <si>
    <t>Assumes a 4.9% blended interest rate applied to average forecast debt.</t>
  </si>
  <si>
    <t>Holds annual depreciation at $2,600 million, consistent with CVS's reported depreciation in 2024 and 2025.</t>
  </si>
  <si>
    <t>Holds annual capital expenditures at $2,832 million, equal to the 2025 purchases of property and equipment.</t>
  </si>
  <si>
    <t>$2,731 million is the 2023-2025 average cash paid for amounts included in measuring operating lease liabilities.</t>
  </si>
  <si>
    <t xml:space="preserve">Assumes balance-sheet investments grow 3% annually from the prior-year balance. </t>
  </si>
  <si>
    <t>Uses 36 accounts receivable days, based on the 2023-2025 average. Forecast accounts receivable equals total revenue x days / 365.</t>
  </si>
  <si>
    <t>Uses 31 inventory days. Forecast inventory equals cost of product sold x days / 365.</t>
  </si>
  <si>
    <t>Assumes health care costs payable equals 38.9 days of health care costs. Forecast payable equals health care costs x days / 365.</t>
  </si>
  <si>
    <t>Assumes $28 million in common stock repurchases annually.</t>
  </si>
  <si>
    <t>Calculates annual dividends as quarterly dividend per share x  4 x shares outstanding.</t>
  </si>
  <si>
    <t>Uses a normalized 25% tax rate based on  2023-2024 effective tax rates. Unusual tax items affected the 2025 rate.</t>
  </si>
  <si>
    <t xml:space="preserve"> Pharmacy claims and discounts payable are forecast at 6.5% of total revenue, based on the 2023-2025 average.</t>
  </si>
  <si>
    <t>Net Cash from Financing</t>
  </si>
  <si>
    <t>Net Increase (Decrease)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</si>
</sst>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rgb="FFFFFF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1" xfId="0" applyFont="1" applyBorder="1"/>
    <xf numFmtId="9" fontId="0" fillId="0" borderId="0" xfId="1" applyFont="1"/>
    <xf numFmtId="0" fontId="2" fillId="0" borderId="2" xfId="0" applyFont="1" applyBorder="1"/>
    <xf numFmtId="0" fontId="2" fillId="0" borderId="3" xfId="0" applyFont="1" applyBorder="1"/>
    <xf numFmtId="5" fontId="0" fillId="0" borderId="0" xfId="0" applyNumberFormat="1"/>
    <xf numFmtId="5" fontId="2" fillId="0" borderId="2" xfId="0" applyNumberFormat="1" applyFont="1" applyBorder="1"/>
    <xf numFmtId="1" fontId="0" fillId="0" borderId="0" xfId="0" applyNumberFormat="1"/>
    <xf numFmtId="164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" fontId="2" fillId="0" borderId="0" xfId="0" applyNumberFormat="1" applyFont="1"/>
    <xf numFmtId="1" fontId="0" fillId="0" borderId="2" xfId="0" applyNumberFormat="1" applyBorder="1"/>
    <xf numFmtId="0" fontId="0" fillId="0" borderId="0" xfId="1" applyNumberFormat="1" applyFont="1"/>
    <xf numFmtId="5" fontId="3" fillId="0" borderId="0" xfId="0" applyNumberFormat="1" applyFont="1"/>
    <xf numFmtId="5" fontId="0" fillId="0" borderId="0" xfId="1" applyNumberFormat="1" applyFont="1"/>
    <xf numFmtId="5" fontId="2" fillId="0" borderId="0" xfId="0" applyNumberFormat="1" applyFont="1"/>
    <xf numFmtId="5" fontId="2" fillId="0" borderId="3" xfId="0" applyNumberFormat="1" applyFont="1" applyBorder="1"/>
    <xf numFmtId="37" fontId="0" fillId="0" borderId="0" xfId="0" applyNumberFormat="1"/>
    <xf numFmtId="0" fontId="6" fillId="3" borderId="0" xfId="0" applyFont="1" applyFill="1"/>
    <xf numFmtId="0" fontId="8" fillId="3" borderId="0" xfId="0" applyFont="1" applyFill="1" applyAlignment="1">
      <alignment horizontal="center"/>
    </xf>
    <xf numFmtId="0" fontId="4" fillId="3" borderId="0" xfId="0" applyFont="1" applyFill="1"/>
    <xf numFmtId="0" fontId="4" fillId="4" borderId="0" xfId="0" applyFont="1" applyFill="1"/>
    <xf numFmtId="0" fontId="3" fillId="4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FFFF"/>
      <color rgb="FF85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CD07-5A82-47E6-912E-03CB1262C446}">
  <dimension ref="A1:N219"/>
  <sheetViews>
    <sheetView tabSelected="1" topLeftCell="A145" zoomScale="94" workbookViewId="0">
      <selection activeCell="A153" sqref="A153"/>
    </sheetView>
  </sheetViews>
  <sheetFormatPr defaultRowHeight="14.4" x14ac:dyDescent="0.3"/>
  <cols>
    <col min="3" max="3" width="8.88671875" customWidth="1"/>
    <col min="4" max="5" width="3.33203125" customWidth="1"/>
    <col min="6" max="6" width="15.33203125" bestFit="1" customWidth="1"/>
    <col min="7" max="7" width="12.44140625" bestFit="1" customWidth="1"/>
    <col min="8" max="8" width="14" bestFit="1" customWidth="1"/>
    <col min="9" max="9" width="16.5546875" bestFit="1" customWidth="1"/>
    <col min="10" max="13" width="14.109375" bestFit="1" customWidth="1"/>
    <col min="14" max="14" width="79.33203125" customWidth="1"/>
  </cols>
  <sheetData>
    <row r="1" spans="1:14" ht="27.6" customHeight="1" x14ac:dyDescent="0.3">
      <c r="A1" s="30" t="s">
        <v>122</v>
      </c>
      <c r="B1" s="30"/>
      <c r="C1" s="30"/>
      <c r="D1" s="20"/>
      <c r="E1" s="20"/>
      <c r="F1" s="29" t="s">
        <v>124</v>
      </c>
      <c r="G1" s="29"/>
      <c r="H1" s="29"/>
      <c r="I1" s="29" t="s">
        <v>125</v>
      </c>
      <c r="J1" s="29"/>
      <c r="K1" s="29"/>
      <c r="L1" s="29"/>
      <c r="M1" s="29"/>
    </row>
    <row r="2" spans="1:14" ht="22.8" customHeight="1" x14ac:dyDescent="0.35">
      <c r="A2" s="30"/>
      <c r="B2" s="30"/>
      <c r="C2" s="30"/>
      <c r="D2" s="20"/>
      <c r="E2" s="20"/>
      <c r="F2" s="21">
        <v>2023</v>
      </c>
      <c r="G2" s="21">
        <v>2024</v>
      </c>
      <c r="H2" s="21">
        <v>2025</v>
      </c>
      <c r="I2" s="21" t="s">
        <v>2</v>
      </c>
      <c r="J2" s="21" t="s">
        <v>3</v>
      </c>
      <c r="K2" s="21" t="s">
        <v>4</v>
      </c>
      <c r="L2" s="21" t="s">
        <v>5</v>
      </c>
      <c r="M2" s="21" t="s">
        <v>6</v>
      </c>
    </row>
    <row r="3" spans="1:14" ht="14.4" customHeight="1" x14ac:dyDescent="0.3">
      <c r="A3" s="31" t="s">
        <v>126</v>
      </c>
      <c r="B3" s="31"/>
      <c r="C3" s="31"/>
      <c r="F3" t="str">
        <f>IFERROR(IF(ABS(F112)&gt;1,"Error","OK"),"OK")</f>
        <v>OK</v>
      </c>
      <c r="G3" t="str">
        <f t="shared" ref="G3:M3" si="0">IFERROR(IF(ABS(G112)&gt;1,"Error","OK"),"OK")</f>
        <v>OK</v>
      </c>
      <c r="H3" t="str">
        <f t="shared" si="0"/>
        <v>OK</v>
      </c>
      <c r="I3" t="str">
        <f t="shared" si="0"/>
        <v>OK</v>
      </c>
      <c r="J3" t="str">
        <f t="shared" si="0"/>
        <v>OK</v>
      </c>
      <c r="K3" t="str">
        <f t="shared" si="0"/>
        <v>OK</v>
      </c>
      <c r="L3" t="str">
        <f t="shared" si="0"/>
        <v>OK</v>
      </c>
      <c r="M3" t="str">
        <f t="shared" si="0"/>
        <v>OK</v>
      </c>
    </row>
    <row r="5" spans="1:14" x14ac:dyDescent="0.3">
      <c r="A5" t="s">
        <v>0</v>
      </c>
    </row>
    <row r="7" spans="1:14" s="2" customFormat="1" x14ac:dyDescent="0.3">
      <c r="A7" s="2" t="s">
        <v>1</v>
      </c>
      <c r="F7" s="2" t="s">
        <v>175</v>
      </c>
    </row>
    <row r="8" spans="1:14" x14ac:dyDescent="0.3">
      <c r="A8" t="s">
        <v>7</v>
      </c>
      <c r="I8" s="3">
        <f>H40/G40-1</f>
        <v>7.9418281710946337E-2</v>
      </c>
      <c r="J8" s="3">
        <f t="shared" ref="J8:M8" si="1">I40/H40-1</f>
        <v>7.9418281710946337E-2</v>
      </c>
      <c r="K8" s="3">
        <f t="shared" si="1"/>
        <v>7.9418281710946337E-2</v>
      </c>
      <c r="L8" s="3">
        <f t="shared" si="1"/>
        <v>7.9418281710946337E-2</v>
      </c>
      <c r="M8" s="3">
        <f t="shared" si="1"/>
        <v>7.9418281710946337E-2</v>
      </c>
      <c r="N8" t="s">
        <v>159</v>
      </c>
    </row>
    <row r="9" spans="1:14" x14ac:dyDescent="0.3">
      <c r="A9" t="s">
        <v>8</v>
      </c>
      <c r="I9" s="3">
        <f>H41/G41-1</f>
        <v>9.646367660460875E-2</v>
      </c>
      <c r="J9" s="3">
        <f t="shared" ref="J9:M9" si="2">I41/H41-1</f>
        <v>9.646367660460875E-2</v>
      </c>
      <c r="K9" s="3">
        <f t="shared" si="2"/>
        <v>9.646367660460875E-2</v>
      </c>
      <c r="L9" s="3">
        <f t="shared" si="2"/>
        <v>9.646367660460875E-2</v>
      </c>
      <c r="M9" s="3">
        <f t="shared" si="2"/>
        <v>9.646367660460875E-2</v>
      </c>
      <c r="N9" t="s">
        <v>162</v>
      </c>
    </row>
    <row r="10" spans="1:14" x14ac:dyDescent="0.3">
      <c r="A10" t="s">
        <v>9</v>
      </c>
      <c r="I10" s="3">
        <f>2%</f>
        <v>0.02</v>
      </c>
      <c r="J10" s="3">
        <f>2%</f>
        <v>0.02</v>
      </c>
      <c r="K10" s="3">
        <f>2%</f>
        <v>0.02</v>
      </c>
      <c r="L10" s="3">
        <f>2%</f>
        <v>0.02</v>
      </c>
      <c r="M10" s="3">
        <f>2%</f>
        <v>0.02</v>
      </c>
      <c r="N10" t="s">
        <v>160</v>
      </c>
    </row>
    <row r="11" spans="1:14" x14ac:dyDescent="0.3">
      <c r="A11" t="s">
        <v>140</v>
      </c>
      <c r="I11" s="3">
        <f>H43/G43-1</f>
        <v>3.7157454714352056E-2</v>
      </c>
      <c r="J11" s="3">
        <f t="shared" ref="J11:M11" si="3">I43/H43-1</f>
        <v>3.7157454714352056E-2</v>
      </c>
      <c r="K11" s="3">
        <f t="shared" si="3"/>
        <v>3.7157454714352056E-2</v>
      </c>
      <c r="L11" s="3">
        <f t="shared" si="3"/>
        <v>3.7157454714352056E-2</v>
      </c>
      <c r="M11" s="3">
        <f t="shared" si="3"/>
        <v>3.7157454714352056E-2</v>
      </c>
      <c r="N11" t="s">
        <v>161</v>
      </c>
    </row>
    <row r="12" spans="1:14" x14ac:dyDescent="0.3">
      <c r="A12" t="s">
        <v>10</v>
      </c>
      <c r="I12" s="3">
        <f>0.887</f>
        <v>0.88700000000000001</v>
      </c>
      <c r="J12" s="3">
        <f t="shared" ref="J12:M12" si="4">0.887</f>
        <v>0.88700000000000001</v>
      </c>
      <c r="K12" s="3">
        <f t="shared" si="4"/>
        <v>0.88700000000000001</v>
      </c>
      <c r="L12" s="3">
        <f t="shared" si="4"/>
        <v>0.88700000000000001</v>
      </c>
      <c r="M12" s="3">
        <f t="shared" si="4"/>
        <v>0.88700000000000001</v>
      </c>
      <c r="N12" t="s">
        <v>163</v>
      </c>
    </row>
    <row r="13" spans="1:14" x14ac:dyDescent="0.3">
      <c r="A13" t="s">
        <v>11</v>
      </c>
      <c r="I13" s="3">
        <f>0.913</f>
        <v>0.91300000000000003</v>
      </c>
      <c r="J13" s="3">
        <f t="shared" ref="J13:M13" si="5">0.913</f>
        <v>0.91300000000000003</v>
      </c>
      <c r="K13" s="3">
        <f t="shared" si="5"/>
        <v>0.91300000000000003</v>
      </c>
      <c r="L13" s="3">
        <f t="shared" si="5"/>
        <v>0.91300000000000003</v>
      </c>
      <c r="M13" s="3">
        <f t="shared" si="5"/>
        <v>0.91300000000000003</v>
      </c>
      <c r="N13" t="s">
        <v>164</v>
      </c>
    </row>
    <row r="14" spans="1:14" x14ac:dyDescent="0.3">
      <c r="A14" t="s">
        <v>12</v>
      </c>
      <c r="I14" s="3">
        <f>0.112</f>
        <v>0.112</v>
      </c>
      <c r="J14" s="3">
        <f t="shared" ref="J14:M14" si="6">0.112</f>
        <v>0.112</v>
      </c>
      <c r="K14" s="3">
        <f t="shared" si="6"/>
        <v>0.112</v>
      </c>
      <c r="L14" s="3">
        <f t="shared" si="6"/>
        <v>0.112</v>
      </c>
      <c r="M14" s="3">
        <f t="shared" si="6"/>
        <v>0.112</v>
      </c>
      <c r="N14" t="s">
        <v>165</v>
      </c>
    </row>
    <row r="15" spans="1:14" x14ac:dyDescent="0.3">
      <c r="A15" t="s">
        <v>85</v>
      </c>
      <c r="I15" s="9">
        <f>0.049</f>
        <v>4.9000000000000002E-2</v>
      </c>
      <c r="J15" s="9">
        <f t="shared" ref="J15:M15" si="7">0.049</f>
        <v>4.9000000000000002E-2</v>
      </c>
      <c r="K15" s="9">
        <f t="shared" si="7"/>
        <v>4.9000000000000002E-2</v>
      </c>
      <c r="L15" s="9">
        <f t="shared" si="7"/>
        <v>4.9000000000000002E-2</v>
      </c>
      <c r="M15" s="9">
        <f t="shared" si="7"/>
        <v>4.9000000000000002E-2</v>
      </c>
      <c r="N15" t="s">
        <v>176</v>
      </c>
    </row>
    <row r="16" spans="1:14" x14ac:dyDescent="0.3">
      <c r="A16" t="s">
        <v>93</v>
      </c>
      <c r="I16">
        <f>2600</f>
        <v>2600</v>
      </c>
      <c r="J16">
        <f>2600</f>
        <v>2600</v>
      </c>
      <c r="K16">
        <f>2600</f>
        <v>2600</v>
      </c>
      <c r="L16">
        <f>2600</f>
        <v>2600</v>
      </c>
      <c r="M16">
        <f>2600</f>
        <v>2600</v>
      </c>
      <c r="N16" t="s">
        <v>177</v>
      </c>
    </row>
    <row r="17" spans="1:14" x14ac:dyDescent="0.3">
      <c r="A17" t="s">
        <v>95</v>
      </c>
      <c r="I17">
        <f>2832</f>
        <v>2832</v>
      </c>
      <c r="J17">
        <f>2832</f>
        <v>2832</v>
      </c>
      <c r="K17">
        <f>2832</f>
        <v>2832</v>
      </c>
      <c r="L17">
        <f>2832</f>
        <v>2832</v>
      </c>
      <c r="M17">
        <f>2832</f>
        <v>2832</v>
      </c>
      <c r="N17" t="s">
        <v>178</v>
      </c>
    </row>
    <row r="18" spans="1:14" x14ac:dyDescent="0.3">
      <c r="A18" t="s">
        <v>98</v>
      </c>
      <c r="I18" s="10">
        <f>0.038</f>
        <v>3.7999999999999999E-2</v>
      </c>
      <c r="J18" s="10">
        <f t="shared" ref="J18:M18" si="8">0.038</f>
        <v>3.7999999999999999E-2</v>
      </c>
      <c r="K18" s="10">
        <f t="shared" si="8"/>
        <v>3.7999999999999999E-2</v>
      </c>
      <c r="L18" s="10">
        <f t="shared" si="8"/>
        <v>3.7999999999999999E-2</v>
      </c>
      <c r="M18" s="10">
        <f t="shared" si="8"/>
        <v>3.7999999999999999E-2</v>
      </c>
      <c r="N18" t="s">
        <v>167</v>
      </c>
    </row>
    <row r="19" spans="1:14" x14ac:dyDescent="0.3">
      <c r="A19" t="s">
        <v>142</v>
      </c>
      <c r="I19">
        <f>AVERAGE(1132,852,785)</f>
        <v>923</v>
      </c>
      <c r="J19">
        <f t="shared" ref="J19:M19" si="9">AVERAGE(1132,852,785)</f>
        <v>923</v>
      </c>
      <c r="K19">
        <f t="shared" si="9"/>
        <v>923</v>
      </c>
      <c r="L19">
        <f t="shared" si="9"/>
        <v>923</v>
      </c>
      <c r="M19">
        <f t="shared" si="9"/>
        <v>923</v>
      </c>
      <c r="N19" t="s">
        <v>166</v>
      </c>
    </row>
    <row r="20" spans="1:14" x14ac:dyDescent="0.3">
      <c r="A20" t="s">
        <v>99</v>
      </c>
      <c r="I20" s="8">
        <f>AVERAGE(2756,2733,2705)</f>
        <v>2731.3333333333335</v>
      </c>
      <c r="J20" s="8">
        <f t="shared" ref="J20:M20" si="10">AVERAGE(2756,2733,2705)</f>
        <v>2731.3333333333335</v>
      </c>
      <c r="K20" s="8">
        <f t="shared" si="10"/>
        <v>2731.3333333333335</v>
      </c>
      <c r="L20" s="8">
        <f t="shared" si="10"/>
        <v>2731.3333333333335</v>
      </c>
      <c r="M20" s="8">
        <f t="shared" si="10"/>
        <v>2731.3333333333335</v>
      </c>
      <c r="N20" t="s">
        <v>179</v>
      </c>
    </row>
    <row r="21" spans="1:14" x14ac:dyDescent="0.3">
      <c r="A21" t="s">
        <v>100</v>
      </c>
      <c r="I21" s="8">
        <f>AVERAGE(2532,2423,2403)</f>
        <v>2452.6666666666665</v>
      </c>
      <c r="J21" s="8">
        <f t="shared" ref="J21:M21" si="11">AVERAGE(2532,2423,2403)</f>
        <v>2452.6666666666665</v>
      </c>
      <c r="K21" s="8">
        <f t="shared" si="11"/>
        <v>2452.6666666666665</v>
      </c>
      <c r="L21" s="8">
        <f t="shared" si="11"/>
        <v>2452.6666666666665</v>
      </c>
      <c r="M21" s="8">
        <f t="shared" si="11"/>
        <v>2452.6666666666665</v>
      </c>
      <c r="N21" t="s">
        <v>168</v>
      </c>
    </row>
    <row r="22" spans="1:14" x14ac:dyDescent="0.3">
      <c r="A22" t="s">
        <v>101</v>
      </c>
      <c r="I22" s="10">
        <f>0.047</f>
        <v>4.7E-2</v>
      </c>
      <c r="J22" s="10">
        <f t="shared" ref="J22:M22" si="12">0.047</f>
        <v>4.7E-2</v>
      </c>
      <c r="K22" s="10">
        <f t="shared" si="12"/>
        <v>4.7E-2</v>
      </c>
      <c r="L22" s="10">
        <f t="shared" si="12"/>
        <v>4.7E-2</v>
      </c>
      <c r="M22" s="10">
        <f t="shared" si="12"/>
        <v>4.7E-2</v>
      </c>
      <c r="N22" t="s">
        <v>169</v>
      </c>
    </row>
    <row r="23" spans="1:14" x14ac:dyDescent="0.3">
      <c r="A23" t="s">
        <v>114</v>
      </c>
      <c r="I23" s="3">
        <f>25%</f>
        <v>0.25</v>
      </c>
      <c r="J23" s="3">
        <f>25%</f>
        <v>0.25</v>
      </c>
      <c r="K23" s="3">
        <f>25%</f>
        <v>0.25</v>
      </c>
      <c r="L23" s="3">
        <f>25%</f>
        <v>0.25</v>
      </c>
      <c r="M23" s="3">
        <f>25%</f>
        <v>0.25</v>
      </c>
      <c r="N23" t="s">
        <v>186</v>
      </c>
    </row>
    <row r="24" spans="1:14" x14ac:dyDescent="0.3">
      <c r="A24" t="s">
        <v>115</v>
      </c>
      <c r="I24" s="3">
        <f>0.03</f>
        <v>0.03</v>
      </c>
      <c r="J24" s="3">
        <f t="shared" ref="J24:M24" si="13">0.03</f>
        <v>0.03</v>
      </c>
      <c r="K24" s="3">
        <f t="shared" si="13"/>
        <v>0.03</v>
      </c>
      <c r="L24" s="3">
        <f t="shared" si="13"/>
        <v>0.03</v>
      </c>
      <c r="M24" s="3">
        <f t="shared" si="13"/>
        <v>0.03</v>
      </c>
      <c r="N24" t="s">
        <v>180</v>
      </c>
    </row>
    <row r="25" spans="1:14" x14ac:dyDescent="0.3">
      <c r="A25" t="s">
        <v>152</v>
      </c>
      <c r="I25" s="14">
        <f>36</f>
        <v>36</v>
      </c>
      <c r="J25" s="14">
        <f>36</f>
        <v>36</v>
      </c>
      <c r="K25" s="14">
        <f>36</f>
        <v>36</v>
      </c>
      <c r="L25" s="14">
        <f>36</f>
        <v>36</v>
      </c>
      <c r="M25" s="14">
        <f>36</f>
        <v>36</v>
      </c>
      <c r="N25" t="s">
        <v>181</v>
      </c>
    </row>
    <row r="26" spans="1:14" x14ac:dyDescent="0.3">
      <c r="A26" t="s">
        <v>154</v>
      </c>
      <c r="I26" s="14">
        <f>31</f>
        <v>31</v>
      </c>
      <c r="J26" s="14">
        <f>31</f>
        <v>31</v>
      </c>
      <c r="K26" s="14">
        <f>31</f>
        <v>31</v>
      </c>
      <c r="L26" s="14">
        <f>31</f>
        <v>31</v>
      </c>
      <c r="M26" s="14">
        <f>31</f>
        <v>31</v>
      </c>
      <c r="N26" t="s">
        <v>182</v>
      </c>
    </row>
    <row r="27" spans="1:14" x14ac:dyDescent="0.3">
      <c r="A27" t="s">
        <v>31</v>
      </c>
      <c r="I27" s="3">
        <f>0.0099</f>
        <v>9.9000000000000008E-3</v>
      </c>
      <c r="J27" s="3">
        <f t="shared" ref="J27:M27" si="14">0.0099</f>
        <v>9.9000000000000008E-3</v>
      </c>
      <c r="K27" s="3">
        <f t="shared" si="14"/>
        <v>9.9000000000000008E-3</v>
      </c>
      <c r="L27" s="3">
        <f t="shared" si="14"/>
        <v>9.9000000000000008E-3</v>
      </c>
      <c r="M27" s="3">
        <f t="shared" si="14"/>
        <v>9.9000000000000008E-3</v>
      </c>
      <c r="N27" t="s">
        <v>170</v>
      </c>
    </row>
    <row r="28" spans="1:14" x14ac:dyDescent="0.3">
      <c r="A28" t="s">
        <v>38</v>
      </c>
      <c r="I28" s="10">
        <f>($H$80/$F$80)^(1/2)-1</f>
        <v>4.8092483551548604E-2</v>
      </c>
      <c r="J28" s="10">
        <f t="shared" ref="J28:M28" si="15">($H$80/$F$80)^(1/2)-1</f>
        <v>4.8092483551548604E-2</v>
      </c>
      <c r="K28" s="10">
        <f t="shared" si="15"/>
        <v>4.8092483551548604E-2</v>
      </c>
      <c r="L28" s="10">
        <f t="shared" si="15"/>
        <v>4.8092483551548604E-2</v>
      </c>
      <c r="M28" s="10">
        <f t="shared" si="15"/>
        <v>4.8092483551548604E-2</v>
      </c>
      <c r="N28" t="s">
        <v>171</v>
      </c>
    </row>
    <row r="29" spans="1:14" x14ac:dyDescent="0.3">
      <c r="A29" t="s">
        <v>153</v>
      </c>
      <c r="I29" s="14">
        <f>27</f>
        <v>27</v>
      </c>
      <c r="J29" s="14">
        <f>27</f>
        <v>27</v>
      </c>
      <c r="K29" s="14">
        <f>27</f>
        <v>27</v>
      </c>
      <c r="L29" s="14">
        <f>27</f>
        <v>27</v>
      </c>
      <c r="M29" s="14">
        <f>27</f>
        <v>27</v>
      </c>
      <c r="N29" t="s">
        <v>158</v>
      </c>
    </row>
    <row r="30" spans="1:14" x14ac:dyDescent="0.3">
      <c r="A30" t="s">
        <v>116</v>
      </c>
      <c r="I30" s="10">
        <f>0.065</f>
        <v>6.5000000000000002E-2</v>
      </c>
      <c r="J30" s="10">
        <f t="shared" ref="J30:M30" si="16">0.065</f>
        <v>6.5000000000000002E-2</v>
      </c>
      <c r="K30" s="10">
        <f t="shared" si="16"/>
        <v>6.5000000000000002E-2</v>
      </c>
      <c r="L30" s="10">
        <f t="shared" si="16"/>
        <v>6.5000000000000002E-2</v>
      </c>
      <c r="M30" s="10">
        <f t="shared" si="16"/>
        <v>6.5000000000000002E-2</v>
      </c>
      <c r="N30" t="s">
        <v>187</v>
      </c>
    </row>
    <row r="31" spans="1:14" x14ac:dyDescent="0.3">
      <c r="A31" t="s">
        <v>117</v>
      </c>
      <c r="I31" s="14">
        <f>38.9</f>
        <v>38.9</v>
      </c>
      <c r="J31" s="14">
        <f t="shared" ref="J31:M31" si="17">38.9</f>
        <v>38.9</v>
      </c>
      <c r="K31" s="14">
        <f t="shared" si="17"/>
        <v>38.9</v>
      </c>
      <c r="L31" s="14">
        <f t="shared" si="17"/>
        <v>38.9</v>
      </c>
      <c r="M31" s="14">
        <f t="shared" si="17"/>
        <v>38.9</v>
      </c>
      <c r="N31" t="s">
        <v>183</v>
      </c>
    </row>
    <row r="32" spans="1:14" x14ac:dyDescent="0.3">
      <c r="A32" t="s">
        <v>118</v>
      </c>
      <c r="I32" s="10">
        <f>0.056</f>
        <v>5.6000000000000001E-2</v>
      </c>
      <c r="J32" s="10">
        <f t="shared" ref="J32:M32" si="18">0.056</f>
        <v>5.6000000000000001E-2</v>
      </c>
      <c r="K32" s="10">
        <f t="shared" si="18"/>
        <v>5.6000000000000001E-2</v>
      </c>
      <c r="L32" s="10">
        <f t="shared" si="18"/>
        <v>5.6000000000000001E-2</v>
      </c>
      <c r="M32" s="10">
        <f t="shared" si="18"/>
        <v>5.6000000000000001E-2</v>
      </c>
      <c r="N32" t="s">
        <v>172</v>
      </c>
    </row>
    <row r="33" spans="1:14" x14ac:dyDescent="0.3">
      <c r="A33" t="s">
        <v>143</v>
      </c>
      <c r="I33" s="3">
        <f>0.011</f>
        <v>1.0999999999999999E-2</v>
      </c>
      <c r="J33" s="3">
        <f t="shared" ref="J33:M33" si="19">0.011</f>
        <v>1.0999999999999999E-2</v>
      </c>
      <c r="K33" s="3">
        <f t="shared" si="19"/>
        <v>1.0999999999999999E-2</v>
      </c>
      <c r="L33" s="3">
        <f t="shared" si="19"/>
        <v>1.0999999999999999E-2</v>
      </c>
      <c r="M33" s="3">
        <f t="shared" si="19"/>
        <v>1.0999999999999999E-2</v>
      </c>
      <c r="N33" t="s">
        <v>173</v>
      </c>
    </row>
    <row r="34" spans="1:14" x14ac:dyDescent="0.3">
      <c r="A34" t="s">
        <v>155</v>
      </c>
      <c r="I34" s="14">
        <f>28</f>
        <v>28</v>
      </c>
      <c r="J34" s="14">
        <f>28</f>
        <v>28</v>
      </c>
      <c r="K34" s="14">
        <f>28</f>
        <v>28</v>
      </c>
      <c r="L34" s="14">
        <f>28</f>
        <v>28</v>
      </c>
      <c r="M34" s="14">
        <f>28</f>
        <v>28</v>
      </c>
      <c r="N34" t="s">
        <v>184</v>
      </c>
    </row>
    <row r="35" spans="1:14" x14ac:dyDescent="0.3">
      <c r="A35" t="s">
        <v>119</v>
      </c>
      <c r="I35" s="14">
        <v>0.66500000000000004</v>
      </c>
      <c r="J35" s="14">
        <v>6.5500000000000003E-2</v>
      </c>
      <c r="K35" s="14">
        <v>6.5500000000000003E-2</v>
      </c>
      <c r="L35" s="14">
        <v>6.5500000000000003E-2</v>
      </c>
      <c r="M35" s="14">
        <v>6.5500000000000003E-2</v>
      </c>
      <c r="N35" t="s">
        <v>185</v>
      </c>
    </row>
    <row r="36" spans="1:14" x14ac:dyDescent="0.3">
      <c r="A36" t="s">
        <v>120</v>
      </c>
      <c r="I36" s="14">
        <f>1278970369</f>
        <v>1278970369</v>
      </c>
      <c r="J36" s="14">
        <f t="shared" ref="J36:M36" si="20">1278970369</f>
        <v>1278970369</v>
      </c>
      <c r="K36" s="14">
        <f t="shared" si="20"/>
        <v>1278970369</v>
      </c>
      <c r="L36" s="14">
        <f t="shared" si="20"/>
        <v>1278970369</v>
      </c>
      <c r="M36" s="14">
        <f t="shared" si="20"/>
        <v>1278970369</v>
      </c>
      <c r="N36" t="s">
        <v>174</v>
      </c>
    </row>
    <row r="37" spans="1:14" ht="10.8" customHeight="1" x14ac:dyDescent="0.3"/>
    <row r="38" spans="1:14" s="23" customFormat="1" ht="18" customHeight="1" x14ac:dyDescent="0.3">
      <c r="A38" s="27" t="s">
        <v>13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40" spans="1:14" x14ac:dyDescent="0.3">
      <c r="A40" t="s">
        <v>16</v>
      </c>
      <c r="F40" s="15">
        <f>245138</f>
        <v>245138</v>
      </c>
      <c r="G40" s="15">
        <f>231521</f>
        <v>231521</v>
      </c>
      <c r="H40" s="15">
        <f>249908</f>
        <v>249908</v>
      </c>
      <c r="I40" s="6">
        <f>H40*(1+I8)</f>
        <v>269755.26394581917</v>
      </c>
      <c r="J40" s="6">
        <f t="shared" ref="J40:M40" si="21">I40*(1+J8)</f>
        <v>291178.76349087892</v>
      </c>
      <c r="K40" s="6">
        <f t="shared" si="21"/>
        <v>314303.68055804254</v>
      </c>
      <c r="L40" s="6">
        <f t="shared" si="21"/>
        <v>339265.13880338846</v>
      </c>
      <c r="M40" s="6">
        <f t="shared" si="21"/>
        <v>366208.99317157926</v>
      </c>
    </row>
    <row r="41" spans="1:14" x14ac:dyDescent="0.3">
      <c r="A41" t="s">
        <v>14</v>
      </c>
      <c r="F41" s="15">
        <f>99192</f>
        <v>99192</v>
      </c>
      <c r="G41" s="15">
        <f>122896</f>
        <v>122896</v>
      </c>
      <c r="H41" s="15">
        <v>134751</v>
      </c>
      <c r="I41" s="6">
        <f>H41*(1+I9)</f>
        <v>147749.57688614764</v>
      </c>
      <c r="J41" s="6">
        <f t="shared" ref="J41:M41" si="22">I41*(1+J9)</f>
        <v>162002.04428936075</v>
      </c>
      <c r="K41" s="6">
        <f t="shared" si="22"/>
        <v>177629.35709897516</v>
      </c>
      <c r="L41" s="6">
        <f t="shared" si="22"/>
        <v>194764.13795765527</v>
      </c>
      <c r="M41" s="6">
        <f t="shared" si="22"/>
        <v>213551.80277577793</v>
      </c>
    </row>
    <row r="42" spans="1:14" x14ac:dyDescent="0.3">
      <c r="A42" t="s">
        <v>15</v>
      </c>
      <c r="F42" s="15">
        <v>12293</v>
      </c>
      <c r="G42" s="15">
        <f>16239</f>
        <v>16239</v>
      </c>
      <c r="H42" s="15">
        <f>15175</f>
        <v>15175</v>
      </c>
      <c r="I42" s="6">
        <f>H42*(1+I10)</f>
        <v>15478.5</v>
      </c>
      <c r="J42" s="6">
        <f t="shared" ref="J42:M42" si="23">I42*(1+J10)</f>
        <v>15788.07</v>
      </c>
      <c r="K42" s="6">
        <f t="shared" si="23"/>
        <v>16103.831399999999</v>
      </c>
      <c r="L42" s="6">
        <f>K42*(1+L10)</f>
        <v>16425.908027999998</v>
      </c>
      <c r="M42" s="6">
        <f t="shared" si="23"/>
        <v>16754.426188559999</v>
      </c>
    </row>
    <row r="43" spans="1:14" x14ac:dyDescent="0.3">
      <c r="A43" t="s">
        <v>140</v>
      </c>
      <c r="F43" s="15">
        <v>1153</v>
      </c>
      <c r="G43" s="15">
        <f>2153</f>
        <v>2153</v>
      </c>
      <c r="H43" s="15">
        <f>2233</f>
        <v>2233</v>
      </c>
      <c r="I43" s="6">
        <f>H43*(1+I11)</f>
        <v>2315.972596377148</v>
      </c>
      <c r="J43" s="6">
        <f t="shared" ref="J43:M43" si="24">I43*(1+J11)</f>
        <v>2402.028243246712</v>
      </c>
      <c r="K43" s="6">
        <f t="shared" si="24"/>
        <v>2491.2814989177464</v>
      </c>
      <c r="L43" s="6">
        <f t="shared" si="24"/>
        <v>2583.8511783944855</v>
      </c>
      <c r="M43" s="6">
        <f t="shared" si="24"/>
        <v>2679.8605115443038</v>
      </c>
    </row>
    <row r="44" spans="1:14" s="4" customFormat="1" x14ac:dyDescent="0.3">
      <c r="A44" s="4" t="s">
        <v>127</v>
      </c>
      <c r="F44" s="7">
        <f>SUM(F40:F43)</f>
        <v>357776</v>
      </c>
      <c r="G44" s="7">
        <f>SUM(G40:G43)</f>
        <v>372809</v>
      </c>
      <c r="H44" s="7">
        <f>SUM(H40:H43)</f>
        <v>402067</v>
      </c>
      <c r="I44" s="7">
        <f t="shared" ref="I44:M44" si="25">SUM(I40:I43)</f>
        <v>435299.31342834397</v>
      </c>
      <c r="J44" s="7">
        <f t="shared" si="25"/>
        <v>471370.9060234864</v>
      </c>
      <c r="K44" s="7">
        <f t="shared" si="25"/>
        <v>510528.15055593546</v>
      </c>
      <c r="L44" s="7">
        <f t="shared" si="25"/>
        <v>553039.03596743825</v>
      </c>
      <c r="M44" s="7">
        <f t="shared" si="25"/>
        <v>599195.08264746144</v>
      </c>
    </row>
    <row r="45" spans="1:14" x14ac:dyDescent="0.3">
      <c r="F45" s="6"/>
      <c r="G45" s="6"/>
      <c r="H45" s="6"/>
      <c r="I45" s="6"/>
      <c r="J45" s="6"/>
      <c r="K45" s="6"/>
      <c r="L45" s="6"/>
      <c r="M45" s="6"/>
    </row>
    <row r="46" spans="1:14" x14ac:dyDescent="0.3">
      <c r="A46" t="s">
        <v>10</v>
      </c>
      <c r="F46" s="15">
        <f>217098</f>
        <v>217098</v>
      </c>
      <c r="G46" s="15">
        <f>206287</f>
        <v>206287</v>
      </c>
      <c r="H46" s="15">
        <f>221167</f>
        <v>221167</v>
      </c>
      <c r="I46" s="6">
        <f>I40*I12</f>
        <v>239272.91911994159</v>
      </c>
      <c r="J46" s="6">
        <f t="shared" ref="J46:M46" si="26">J40*J12</f>
        <v>258275.56321640962</v>
      </c>
      <c r="K46" s="6">
        <f t="shared" si="26"/>
        <v>278787.36465498374</v>
      </c>
      <c r="L46" s="6">
        <f t="shared" si="26"/>
        <v>300928.17811860557</v>
      </c>
      <c r="M46" s="6">
        <f t="shared" si="26"/>
        <v>324827.37694319081</v>
      </c>
    </row>
    <row r="47" spans="1:14" x14ac:dyDescent="0.3">
      <c r="A47" t="s">
        <v>11</v>
      </c>
      <c r="F47" s="15">
        <v>86247</v>
      </c>
      <c r="G47" s="15">
        <f>115121</f>
        <v>115121</v>
      </c>
      <c r="H47" s="15">
        <f>125538</f>
        <v>125538</v>
      </c>
      <c r="I47" s="6">
        <f>I41*I13</f>
        <v>134895.36369705279</v>
      </c>
      <c r="J47" s="6">
        <f t="shared" ref="J47:M47" si="27">J41*J13</f>
        <v>147907.86643618636</v>
      </c>
      <c r="K47" s="6">
        <f t="shared" si="27"/>
        <v>162175.60303136433</v>
      </c>
      <c r="L47" s="6">
        <f t="shared" si="27"/>
        <v>177819.65795533927</v>
      </c>
      <c r="M47" s="6">
        <f t="shared" si="27"/>
        <v>194972.79593428527</v>
      </c>
    </row>
    <row r="48" spans="1:14" x14ac:dyDescent="0.3">
      <c r="A48" t="s">
        <v>12</v>
      </c>
      <c r="F48" s="15">
        <f>39832</f>
        <v>39832</v>
      </c>
      <c r="G48" s="15">
        <f>41706</f>
        <v>41706</v>
      </c>
      <c r="H48" s="15">
        <f>44977</f>
        <v>44977</v>
      </c>
      <c r="I48" s="6">
        <f>I44*I14</f>
        <v>48753.523103974527</v>
      </c>
      <c r="J48" s="6">
        <f t="shared" ref="J48:M48" si="28">J44*J14</f>
        <v>52793.541474630481</v>
      </c>
      <c r="K48" s="6">
        <f t="shared" si="28"/>
        <v>57179.152862264775</v>
      </c>
      <c r="L48" s="6">
        <f t="shared" si="28"/>
        <v>61940.372028353086</v>
      </c>
      <c r="M48" s="6">
        <f t="shared" si="28"/>
        <v>67109.849256515678</v>
      </c>
    </row>
    <row r="49" spans="1:13" x14ac:dyDescent="0.3">
      <c r="A49" t="s">
        <v>17</v>
      </c>
      <c r="F49" s="15">
        <f>0</f>
        <v>0</v>
      </c>
      <c r="G49" s="15">
        <f>0</f>
        <v>0</v>
      </c>
      <c r="H49" s="15">
        <f>5725</f>
        <v>5725</v>
      </c>
      <c r="I49" s="6">
        <f>0</f>
        <v>0</v>
      </c>
      <c r="J49" s="6">
        <f>0</f>
        <v>0</v>
      </c>
      <c r="K49" s="6">
        <f>0</f>
        <v>0</v>
      </c>
      <c r="L49" s="6">
        <f>0</f>
        <v>0</v>
      </c>
      <c r="M49" s="6">
        <f>0</f>
        <v>0</v>
      </c>
    </row>
    <row r="50" spans="1:13" x14ac:dyDescent="0.3">
      <c r="A50" t="s">
        <v>128</v>
      </c>
      <c r="F50" s="15">
        <f>507</f>
        <v>507</v>
      </c>
      <c r="G50" s="15">
        <f>1179</f>
        <v>1179</v>
      </c>
      <c r="H50" s="15">
        <f>0</f>
        <v>0</v>
      </c>
      <c r="I50" s="6">
        <f>0</f>
        <v>0</v>
      </c>
      <c r="J50" s="6">
        <f>0</f>
        <v>0</v>
      </c>
      <c r="K50" s="6">
        <f>0</f>
        <v>0</v>
      </c>
      <c r="L50" s="6">
        <f>0</f>
        <v>0</v>
      </c>
      <c r="M50" s="6">
        <f>0</f>
        <v>0</v>
      </c>
    </row>
    <row r="51" spans="1:13" x14ac:dyDescent="0.3">
      <c r="A51" t="s">
        <v>18</v>
      </c>
      <c r="F51" s="15">
        <f>349</f>
        <v>349</v>
      </c>
      <c r="G51" s="15">
        <f>0</f>
        <v>0</v>
      </c>
      <c r="H51" s="15">
        <f>0</f>
        <v>0</v>
      </c>
      <c r="I51" s="6">
        <f>0</f>
        <v>0</v>
      </c>
      <c r="J51" s="6">
        <f>0</f>
        <v>0</v>
      </c>
      <c r="K51" s="6">
        <f>0</f>
        <v>0</v>
      </c>
      <c r="L51" s="6">
        <f>0</f>
        <v>0</v>
      </c>
      <c r="M51" s="6">
        <f>0</f>
        <v>0</v>
      </c>
    </row>
    <row r="52" spans="1:13" s="4" customFormat="1" x14ac:dyDescent="0.3">
      <c r="A52" s="4" t="s">
        <v>19</v>
      </c>
      <c r="F52" s="7">
        <f>SUM(F46:F51)</f>
        <v>344033</v>
      </c>
      <c r="G52" s="7">
        <f t="shared" ref="G52:I52" si="29">SUM(G46:G51)</f>
        <v>364293</v>
      </c>
      <c r="H52" s="7">
        <f t="shared" si="29"/>
        <v>397407</v>
      </c>
      <c r="I52" s="7">
        <f t="shared" si="29"/>
        <v>422921.80592096888</v>
      </c>
      <c r="J52" s="7">
        <f t="shared" ref="J52" si="30">SUM(J46:J51)</f>
        <v>458976.97112722648</v>
      </c>
      <c r="K52" s="7">
        <f t="shared" ref="K52" si="31">SUM(K46:K51)</f>
        <v>498142.12054861285</v>
      </c>
      <c r="L52" s="7">
        <f t="shared" ref="L52" si="32">SUM(L46:L51)</f>
        <v>540688.20810229785</v>
      </c>
      <c r="M52" s="7">
        <f t="shared" ref="M52" si="33">SUM(M46:M51)</f>
        <v>586910.02213399182</v>
      </c>
    </row>
    <row r="53" spans="1:13" x14ac:dyDescent="0.3">
      <c r="F53" s="6"/>
      <c r="G53" s="6"/>
      <c r="H53" s="6"/>
      <c r="I53" s="6"/>
      <c r="J53" s="6"/>
      <c r="K53" s="6"/>
      <c r="L53" s="6"/>
      <c r="M53" s="6"/>
    </row>
    <row r="54" spans="1:13" x14ac:dyDescent="0.3">
      <c r="A54" t="s">
        <v>20</v>
      </c>
      <c r="F54" s="15">
        <f>F44-F52</f>
        <v>13743</v>
      </c>
      <c r="G54" s="15">
        <f>G44-G52</f>
        <v>8516</v>
      </c>
      <c r="H54" s="15">
        <f>H44-H52</f>
        <v>4660</v>
      </c>
      <c r="I54" s="6">
        <f t="shared" ref="I54:M54" si="34">I44-I52</f>
        <v>12377.507507375092</v>
      </c>
      <c r="J54" s="6">
        <f t="shared" si="34"/>
        <v>12393.934896259918</v>
      </c>
      <c r="K54" s="6">
        <f t="shared" si="34"/>
        <v>12386.03000732261</v>
      </c>
      <c r="L54" s="6">
        <f t="shared" si="34"/>
        <v>12350.827865140396</v>
      </c>
      <c r="M54" s="6">
        <f t="shared" si="34"/>
        <v>12285.060513469623</v>
      </c>
    </row>
    <row r="55" spans="1:13" x14ac:dyDescent="0.3">
      <c r="A55" t="s">
        <v>21</v>
      </c>
      <c r="F55" s="15">
        <f>-2658</f>
        <v>-2658</v>
      </c>
      <c r="G55" s="15">
        <f>-2958</f>
        <v>-2958</v>
      </c>
      <c r="H55" s="15">
        <f>-3119</f>
        <v>-3119</v>
      </c>
      <c r="I55" s="15">
        <f>-I170</f>
        <v>-2922.3355000000001</v>
      </c>
      <c r="J55" s="15">
        <f t="shared" ref="J55:M55" si="35">-J170</f>
        <v>-2761.2725</v>
      </c>
      <c r="K55" s="15">
        <f t="shared" si="35"/>
        <v>-2600.2094999999999</v>
      </c>
      <c r="L55" s="15">
        <f t="shared" si="35"/>
        <v>-2439.1465000000003</v>
      </c>
      <c r="M55" s="15">
        <f t="shared" si="35"/>
        <v>-2278.0835000000002</v>
      </c>
    </row>
    <row r="56" spans="1:13" x14ac:dyDescent="0.3">
      <c r="A56" t="s">
        <v>22</v>
      </c>
      <c r="F56" s="15">
        <f>0</f>
        <v>0</v>
      </c>
      <c r="G56" s="15">
        <f>491</f>
        <v>491</v>
      </c>
      <c r="H56" s="15">
        <f>0</f>
        <v>0</v>
      </c>
      <c r="I56" s="6">
        <f>0</f>
        <v>0</v>
      </c>
      <c r="J56" s="6">
        <f>0</f>
        <v>0</v>
      </c>
      <c r="K56" s="6">
        <f>0</f>
        <v>0</v>
      </c>
      <c r="L56" s="6">
        <f>0</f>
        <v>0</v>
      </c>
      <c r="M56" s="6">
        <f>0</f>
        <v>0</v>
      </c>
    </row>
    <row r="57" spans="1:13" x14ac:dyDescent="0.3">
      <c r="A57" t="s">
        <v>129</v>
      </c>
      <c r="F57" s="15">
        <f>0</f>
        <v>0</v>
      </c>
      <c r="G57" s="15">
        <f>0</f>
        <v>0</v>
      </c>
      <c r="H57" s="15">
        <f>483</f>
        <v>483</v>
      </c>
      <c r="I57" s="6">
        <f>0</f>
        <v>0</v>
      </c>
      <c r="J57" s="6">
        <f>0</f>
        <v>0</v>
      </c>
      <c r="K57" s="6">
        <f>0</f>
        <v>0</v>
      </c>
      <c r="L57" s="6">
        <f>0</f>
        <v>0</v>
      </c>
      <c r="M57" s="6">
        <f>0</f>
        <v>0</v>
      </c>
    </row>
    <row r="58" spans="1:13" x14ac:dyDescent="0.3">
      <c r="A58" t="s">
        <v>23</v>
      </c>
      <c r="F58" s="15">
        <f>88</f>
        <v>88</v>
      </c>
      <c r="G58" s="15">
        <f>99</f>
        <v>99</v>
      </c>
      <c r="H58" s="15">
        <f>112</f>
        <v>112</v>
      </c>
      <c r="I58" s="6">
        <f>0</f>
        <v>0</v>
      </c>
      <c r="J58" s="6">
        <f>0</f>
        <v>0</v>
      </c>
      <c r="K58" s="6">
        <f>0</f>
        <v>0</v>
      </c>
      <c r="L58" s="6">
        <f>0</f>
        <v>0</v>
      </c>
      <c r="M58" s="6">
        <f>0</f>
        <v>0</v>
      </c>
    </row>
    <row r="59" spans="1:13" s="4" customFormat="1" x14ac:dyDescent="0.3">
      <c r="A59" s="4" t="s">
        <v>24</v>
      </c>
      <c r="F59" s="7">
        <f>SUM(F54:F58)</f>
        <v>11173</v>
      </c>
      <c r="G59" s="7">
        <f>SUM(G54:G58)</f>
        <v>6148</v>
      </c>
      <c r="H59" s="7">
        <f>SUM(H54:H58)</f>
        <v>2136</v>
      </c>
      <c r="I59" s="7">
        <f t="shared" ref="I59:M59" si="36">SUM(I54:I58)</f>
        <v>9455.1720073750912</v>
      </c>
      <c r="J59" s="7">
        <f t="shared" si="36"/>
        <v>9632.6623962599188</v>
      </c>
      <c r="K59" s="7">
        <f t="shared" si="36"/>
        <v>9785.820507322609</v>
      </c>
      <c r="L59" s="7">
        <f t="shared" si="36"/>
        <v>9911.6813651403954</v>
      </c>
      <c r="M59" s="7">
        <f t="shared" si="36"/>
        <v>10006.977013469623</v>
      </c>
    </row>
    <row r="60" spans="1:13" x14ac:dyDescent="0.3">
      <c r="A60" t="s">
        <v>25</v>
      </c>
      <c r="F60" s="15">
        <f>-2805</f>
        <v>-2805</v>
      </c>
      <c r="G60" s="15">
        <f>-1562</f>
        <v>-1562</v>
      </c>
      <c r="H60" s="15">
        <f>-408</f>
        <v>-408</v>
      </c>
      <c r="I60" s="6">
        <f>-I59*I23</f>
        <v>-2363.7930018437728</v>
      </c>
      <c r="J60" s="6">
        <f t="shared" ref="J60:M60" si="37">-J59*J23</f>
        <v>-2408.1655990649797</v>
      </c>
      <c r="K60" s="6">
        <f t="shared" si="37"/>
        <v>-2446.4551268306523</v>
      </c>
      <c r="L60" s="6">
        <f t="shared" si="37"/>
        <v>-2477.9203412850989</v>
      </c>
      <c r="M60" s="6">
        <f t="shared" si="37"/>
        <v>-2501.7442533674057</v>
      </c>
    </row>
    <row r="61" spans="1:13" s="4" customFormat="1" x14ac:dyDescent="0.3">
      <c r="A61" s="4" t="s">
        <v>26</v>
      </c>
      <c r="F61" s="7">
        <f>SUM(F59:F60)</f>
        <v>8368</v>
      </c>
      <c r="G61" s="7">
        <f>SUM(G59:G60)</f>
        <v>4586</v>
      </c>
      <c r="H61" s="7">
        <f>SUM(H59:H60)</f>
        <v>1728</v>
      </c>
      <c r="I61" s="7">
        <f t="shared" ref="I61:M61" si="38">SUM(I59:I60)</f>
        <v>7091.3790055313184</v>
      </c>
      <c r="J61" s="7">
        <f t="shared" si="38"/>
        <v>7224.4967971949391</v>
      </c>
      <c r="K61" s="7">
        <f t="shared" si="38"/>
        <v>7339.3653804919568</v>
      </c>
      <c r="L61" s="7">
        <f t="shared" si="38"/>
        <v>7433.761023855297</v>
      </c>
      <c r="M61" s="7">
        <f t="shared" si="38"/>
        <v>7505.2327601022171</v>
      </c>
    </row>
    <row r="64" spans="1:13" s="24" customFormat="1" ht="18" customHeight="1" x14ac:dyDescent="0.3">
      <c r="A64" s="25" t="s">
        <v>27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1:13" x14ac:dyDescent="0.3">
      <c r="A66" t="s">
        <v>28</v>
      </c>
    </row>
    <row r="67" spans="1:13" x14ac:dyDescent="0.3">
      <c r="A67" t="s">
        <v>130</v>
      </c>
      <c r="F67" s="15">
        <f>8196</f>
        <v>8196</v>
      </c>
      <c r="G67" s="15">
        <f>8586</f>
        <v>8586</v>
      </c>
      <c r="H67" s="15">
        <f>8453</f>
        <v>8453</v>
      </c>
      <c r="I67" s="6">
        <f>I160</f>
        <v>9108.8629487227608</v>
      </c>
      <c r="J67" s="6">
        <f t="shared" ref="J67:M67" si="39">J160</f>
        <v>11687.517096495258</v>
      </c>
      <c r="K67" s="6">
        <f t="shared" si="39"/>
        <v>14129.046760026964</v>
      </c>
      <c r="L67" s="6">
        <f t="shared" si="39"/>
        <v>16592.136891717222</v>
      </c>
      <c r="M67" s="6">
        <f t="shared" si="39"/>
        <v>19118.405347534379</v>
      </c>
    </row>
    <row r="68" spans="1:13" x14ac:dyDescent="0.3">
      <c r="A68" t="s">
        <v>29</v>
      </c>
      <c r="F68" s="15">
        <f>3259</f>
        <v>3259</v>
      </c>
      <c r="G68" s="15">
        <f>2407</f>
        <v>2407</v>
      </c>
      <c r="H68" s="15">
        <f>2145</f>
        <v>2145</v>
      </c>
      <c r="I68" s="16">
        <f>H68*(1+I24)</f>
        <v>2209.35</v>
      </c>
      <c r="J68" s="16">
        <f t="shared" ref="J68:M68" si="40">I68*(1+J24)</f>
        <v>2275.6304999999998</v>
      </c>
      <c r="K68" s="16">
        <f t="shared" si="40"/>
        <v>2343.8994149999999</v>
      </c>
      <c r="L68" s="16">
        <f t="shared" si="40"/>
        <v>2414.2163974499999</v>
      </c>
      <c r="M68" s="16">
        <f t="shared" si="40"/>
        <v>2486.6428893735001</v>
      </c>
    </row>
    <row r="69" spans="1:13" x14ac:dyDescent="0.3">
      <c r="A69" t="s">
        <v>65</v>
      </c>
      <c r="F69" s="15">
        <f>35227</f>
        <v>35227</v>
      </c>
      <c r="G69" s="15">
        <f>36469</f>
        <v>36469</v>
      </c>
      <c r="H69" s="15">
        <f>39779</f>
        <v>39779</v>
      </c>
      <c r="I69" s="6">
        <f>(36/365)*I44</f>
        <v>42933.630913480498</v>
      </c>
      <c r="J69" s="6">
        <f t="shared" ref="J69:M69" si="41">(36/365)*J44</f>
        <v>46491.377032453449</v>
      </c>
      <c r="K69" s="6">
        <f t="shared" si="41"/>
        <v>50353.461424695</v>
      </c>
      <c r="L69" s="6">
        <f t="shared" si="41"/>
        <v>54546.315876240486</v>
      </c>
      <c r="M69" s="6">
        <f t="shared" si="41"/>
        <v>59098.693083037295</v>
      </c>
    </row>
    <row r="70" spans="1:13" x14ac:dyDescent="0.3">
      <c r="A70" t="s">
        <v>30</v>
      </c>
      <c r="F70" s="15">
        <f>18025</f>
        <v>18025</v>
      </c>
      <c r="G70" s="15">
        <f>18107</f>
        <v>18107</v>
      </c>
      <c r="H70" s="15">
        <f>19246</f>
        <v>19246</v>
      </c>
      <c r="I70" s="6">
        <f>(I26/365)*I46</f>
        <v>20321.809569090929</v>
      </c>
      <c r="J70" s="6">
        <f t="shared" ref="J70:M70" si="42">(J26/365)*J46</f>
        <v>21935.7327663252</v>
      </c>
      <c r="K70" s="6">
        <f t="shared" si="42"/>
        <v>23677.83097069725</v>
      </c>
      <c r="L70" s="6">
        <f t="shared" si="42"/>
        <v>25558.283621032253</v>
      </c>
      <c r="M70" s="6">
        <f t="shared" si="42"/>
        <v>27588.078589695659</v>
      </c>
    </row>
    <row r="71" spans="1:13" x14ac:dyDescent="0.3">
      <c r="A71" t="s">
        <v>31</v>
      </c>
      <c r="F71" s="15">
        <f>3151</f>
        <v>3151</v>
      </c>
      <c r="G71" s="15">
        <f>3076</f>
        <v>3076</v>
      </c>
      <c r="H71" s="15">
        <f>5091</f>
        <v>5091</v>
      </c>
      <c r="I71" s="6">
        <f>I44*I27</f>
        <v>4309.4632029406057</v>
      </c>
      <c r="J71" s="6">
        <f t="shared" ref="J71:M71" si="43">J44*J27</f>
        <v>4666.5719696325159</v>
      </c>
      <c r="K71" s="6">
        <f t="shared" si="43"/>
        <v>5054.2286905037618</v>
      </c>
      <c r="L71" s="6">
        <f t="shared" si="43"/>
        <v>5475.086456077639</v>
      </c>
      <c r="M71" s="6">
        <f t="shared" si="43"/>
        <v>5932.0313182098689</v>
      </c>
    </row>
    <row r="72" spans="1:13" s="4" customFormat="1" x14ac:dyDescent="0.3">
      <c r="A72" s="4" t="s">
        <v>32</v>
      </c>
      <c r="F72" s="7">
        <f>SUM(F67:F71)</f>
        <v>67858</v>
      </c>
      <c r="G72" s="7">
        <f>SUM(G67:G71)</f>
        <v>68645</v>
      </c>
      <c r="H72" s="7">
        <f>SUM(H67:H71)</f>
        <v>74714</v>
      </c>
      <c r="I72" s="7">
        <f>SUM(I67:I71)</f>
        <v>78883.116634234786</v>
      </c>
      <c r="J72" s="7">
        <f t="shared" ref="J72:M72" si="44">SUM(J67:J71)</f>
        <v>87056.829364906414</v>
      </c>
      <c r="K72" s="7">
        <f t="shared" si="44"/>
        <v>95558.467260922975</v>
      </c>
      <c r="L72" s="7">
        <f t="shared" si="44"/>
        <v>104586.03924251761</v>
      </c>
      <c r="M72" s="7">
        <f t="shared" si="44"/>
        <v>114223.85122785068</v>
      </c>
    </row>
    <row r="73" spans="1:13" x14ac:dyDescent="0.3">
      <c r="F73" s="6"/>
      <c r="G73" s="6"/>
      <c r="H73" s="6"/>
      <c r="I73" s="6"/>
      <c r="J73" s="6"/>
      <c r="K73" s="6"/>
      <c r="L73" s="6"/>
      <c r="M73" s="6"/>
    </row>
    <row r="74" spans="1:13" x14ac:dyDescent="0.3">
      <c r="A74" t="s">
        <v>33</v>
      </c>
      <c r="F74" s="15">
        <f>23019</f>
        <v>23019</v>
      </c>
      <c r="G74" s="15">
        <f>28934</f>
        <v>28934</v>
      </c>
      <c r="H74" s="15">
        <f>32669</f>
        <v>32669</v>
      </c>
      <c r="I74" s="6">
        <f>H68+H74-I134-I135-I68</f>
        <v>35233.65</v>
      </c>
      <c r="J74" s="6">
        <f t="shared" ref="J74:M74" si="45">I68+I74-J134-J135-J68</f>
        <v>37796.369500000001</v>
      </c>
      <c r="K74" s="6">
        <f t="shared" si="45"/>
        <v>40357.100585</v>
      </c>
      <c r="L74" s="6">
        <f t="shared" si="45"/>
        <v>42915.78360255</v>
      </c>
      <c r="M74" s="6">
        <f t="shared" si="45"/>
        <v>45472.357110626501</v>
      </c>
    </row>
    <row r="75" spans="1:13" x14ac:dyDescent="0.3">
      <c r="A75" t="s">
        <v>34</v>
      </c>
      <c r="F75" s="15">
        <f>13183</f>
        <v>13183</v>
      </c>
      <c r="G75" s="15">
        <f>12993</f>
        <v>12993</v>
      </c>
      <c r="H75" s="15">
        <f>13083</f>
        <v>13083</v>
      </c>
      <c r="I75" s="6">
        <f>I186</f>
        <v>13315</v>
      </c>
      <c r="J75" s="6">
        <f t="shared" ref="J75:M75" si="46">J186</f>
        <v>13547</v>
      </c>
      <c r="K75" s="6">
        <f t="shared" si="46"/>
        <v>13779</v>
      </c>
      <c r="L75" s="6">
        <f t="shared" si="46"/>
        <v>14011</v>
      </c>
      <c r="M75" s="6">
        <f t="shared" si="46"/>
        <v>14243</v>
      </c>
    </row>
    <row r="76" spans="1:13" x14ac:dyDescent="0.3">
      <c r="A76" t="s">
        <v>157</v>
      </c>
      <c r="F76" s="15">
        <f>17252</f>
        <v>17252</v>
      </c>
      <c r="G76" s="15">
        <f>15944</f>
        <v>15944</v>
      </c>
      <c r="H76" s="15">
        <f>14973</f>
        <v>14973</v>
      </c>
      <c r="I76" s="6">
        <f>I207</f>
        <v>14166.193333333333</v>
      </c>
      <c r="J76" s="6">
        <f t="shared" ref="J76:M76" si="47">J207</f>
        <v>13308.369419999999</v>
      </c>
      <c r="K76" s="6">
        <f t="shared" si="47"/>
        <v>12397.130449406666</v>
      </c>
      <c r="L76" s="6">
        <f t="shared" si="47"/>
        <v>11429.965913862114</v>
      </c>
      <c r="M76" s="6">
        <f t="shared" si="47"/>
        <v>10404.247311813633</v>
      </c>
    </row>
    <row r="77" spans="1:13" x14ac:dyDescent="0.3">
      <c r="A77" t="s">
        <v>35</v>
      </c>
      <c r="F77" s="15">
        <f>91272</f>
        <v>91272</v>
      </c>
      <c r="G77" s="15">
        <f>91272</f>
        <v>91272</v>
      </c>
      <c r="H77" s="15">
        <f>85478</f>
        <v>85478</v>
      </c>
      <c r="I77" s="6">
        <f>H77</f>
        <v>85478</v>
      </c>
      <c r="J77" s="6">
        <f t="shared" ref="J77:M77" si="48">I77</f>
        <v>85478</v>
      </c>
      <c r="K77" s="6">
        <f t="shared" si="48"/>
        <v>85478</v>
      </c>
      <c r="L77" s="6">
        <f t="shared" si="48"/>
        <v>85478</v>
      </c>
      <c r="M77" s="6">
        <f t="shared" si="48"/>
        <v>85478</v>
      </c>
    </row>
    <row r="78" spans="1:13" x14ac:dyDescent="0.3">
      <c r="A78" t="s">
        <v>36</v>
      </c>
      <c r="F78" s="15">
        <f>29234</f>
        <v>29234</v>
      </c>
      <c r="G78" s="15">
        <f>27323</f>
        <v>27323</v>
      </c>
      <c r="H78" s="15">
        <f>25508</f>
        <v>25508</v>
      </c>
      <c r="I78" s="6">
        <f>I180</f>
        <v>23791</v>
      </c>
      <c r="J78" s="6">
        <f t="shared" ref="J78:M78" si="49">J180</f>
        <v>22187</v>
      </c>
      <c r="K78" s="6">
        <f t="shared" si="49"/>
        <v>20857</v>
      </c>
      <c r="L78" s="6">
        <f t="shared" si="49"/>
        <v>19605</v>
      </c>
      <c r="M78" s="6">
        <f t="shared" si="49"/>
        <v>18386</v>
      </c>
    </row>
    <row r="79" spans="1:13" x14ac:dyDescent="0.3">
      <c r="A79" t="s">
        <v>37</v>
      </c>
      <c r="F79" s="15">
        <f>3250</f>
        <v>3250</v>
      </c>
      <c r="G79" s="15">
        <f>3311</f>
        <v>3311</v>
      </c>
      <c r="H79" s="15">
        <f>1994</f>
        <v>1994</v>
      </c>
      <c r="I79" s="6">
        <f>H79</f>
        <v>1994</v>
      </c>
      <c r="J79" s="6">
        <f t="shared" ref="J79:M79" si="50">I79</f>
        <v>1994</v>
      </c>
      <c r="K79" s="6">
        <f t="shared" si="50"/>
        <v>1994</v>
      </c>
      <c r="L79" s="6">
        <f t="shared" si="50"/>
        <v>1994</v>
      </c>
      <c r="M79" s="6">
        <f t="shared" si="50"/>
        <v>1994</v>
      </c>
    </row>
    <row r="80" spans="1:13" x14ac:dyDescent="0.3">
      <c r="A80" t="s">
        <v>38</v>
      </c>
      <c r="F80" s="15">
        <f>4660</f>
        <v>4660</v>
      </c>
      <c r="G80" s="15">
        <f>4793</f>
        <v>4793</v>
      </c>
      <c r="H80" s="15">
        <f>5119</f>
        <v>5119</v>
      </c>
      <c r="I80" s="6">
        <f>H80*(1+$I$28)</f>
        <v>5365.1854233003769</v>
      </c>
      <c r="J80" s="6">
        <f t="shared" ref="J80:M80" si="51">I80*(1+$I$28)</f>
        <v>5623.2105150214584</v>
      </c>
      <c r="K80" s="6">
        <f t="shared" si="51"/>
        <v>5893.6446742220232</v>
      </c>
      <c r="L80" s="6">
        <f t="shared" si="51"/>
        <v>6177.0846837757181</v>
      </c>
      <c r="M80" s="6">
        <f t="shared" si="51"/>
        <v>6474.1560273267251</v>
      </c>
    </row>
    <row r="81" spans="1:13" s="4" customFormat="1" x14ac:dyDescent="0.3">
      <c r="A81" s="4" t="s">
        <v>39</v>
      </c>
      <c r="F81" s="7">
        <f>SUM(F72:F80)</f>
        <v>249728</v>
      </c>
      <c r="G81" s="7">
        <f t="shared" ref="G81:I81" si="52">SUM(G72:G80)</f>
        <v>253215</v>
      </c>
      <c r="H81" s="7">
        <f t="shared" si="52"/>
        <v>253538</v>
      </c>
      <c r="I81" s="7">
        <f t="shared" si="52"/>
        <v>258226.14539086848</v>
      </c>
      <c r="J81" s="7">
        <f t="shared" ref="J81:M81" si="53">SUM(J72:J80)</f>
        <v>266990.77879992785</v>
      </c>
      <c r="K81" s="7">
        <f t="shared" si="53"/>
        <v>276314.34296955168</v>
      </c>
      <c r="L81" s="7">
        <f t="shared" si="53"/>
        <v>286196.87344270543</v>
      </c>
      <c r="M81" s="7">
        <f t="shared" si="53"/>
        <v>296675.61167761753</v>
      </c>
    </row>
    <row r="82" spans="1:13" x14ac:dyDescent="0.3">
      <c r="F82" s="6"/>
      <c r="G82" s="6"/>
      <c r="H82" s="6"/>
      <c r="I82" s="6"/>
      <c r="J82" s="6"/>
      <c r="K82" s="6"/>
      <c r="L82" s="6"/>
      <c r="M82" s="6"/>
    </row>
    <row r="83" spans="1:13" x14ac:dyDescent="0.3">
      <c r="A83" t="s">
        <v>40</v>
      </c>
      <c r="F83" s="15">
        <f>14897</f>
        <v>14897</v>
      </c>
      <c r="G83" s="15">
        <f>15892</f>
        <v>15892</v>
      </c>
      <c r="H83" s="15">
        <f>17641</f>
        <v>17641</v>
      </c>
      <c r="I83" s="6">
        <f>(I29/365)*I46</f>
        <v>17699.640592434036</v>
      </c>
      <c r="J83" s="6">
        <f t="shared" ref="J83:M83" si="54">(J29/365)*J46</f>
        <v>19105.315635186464</v>
      </c>
      <c r="K83" s="6">
        <f t="shared" si="54"/>
        <v>20622.626974478251</v>
      </c>
      <c r="L83" s="6">
        <f t="shared" si="54"/>
        <v>22260.440573157124</v>
      </c>
      <c r="M83" s="6">
        <f t="shared" si="54"/>
        <v>24028.326513605898</v>
      </c>
    </row>
    <row r="84" spans="1:13" x14ac:dyDescent="0.3">
      <c r="A84" t="s">
        <v>41</v>
      </c>
      <c r="F84" s="15">
        <f>22874</f>
        <v>22874</v>
      </c>
      <c r="G84" s="15">
        <f>24166</f>
        <v>24166</v>
      </c>
      <c r="H84" s="15">
        <f>26344</f>
        <v>26344</v>
      </c>
      <c r="I84" s="6">
        <f>I44*I30</f>
        <v>28294.45537284236</v>
      </c>
      <c r="J84" s="6">
        <f t="shared" ref="J84:M84" si="55">J44*J30</f>
        <v>30639.108891526615</v>
      </c>
      <c r="K84" s="6">
        <f t="shared" si="55"/>
        <v>33184.329786135808</v>
      </c>
      <c r="L84" s="6">
        <f t="shared" si="55"/>
        <v>35947.537337883485</v>
      </c>
      <c r="M84" s="6">
        <f t="shared" si="55"/>
        <v>38947.680372084993</v>
      </c>
    </row>
    <row r="85" spans="1:13" x14ac:dyDescent="0.3">
      <c r="A85" t="s">
        <v>42</v>
      </c>
      <c r="F85" s="15">
        <f>12049</f>
        <v>12049</v>
      </c>
      <c r="G85" s="15">
        <f>15064</f>
        <v>15064</v>
      </c>
      <c r="H85" s="15">
        <f>15399</f>
        <v>15399</v>
      </c>
      <c r="I85" s="6">
        <f>($J$47/365)*I31</f>
        <v>15763.331518815477</v>
      </c>
      <c r="J85" s="6">
        <f t="shared" ref="J85:M85" si="56">($J$47/365)*J31</f>
        <v>15763.331518815477</v>
      </c>
      <c r="K85" s="6">
        <f t="shared" si="56"/>
        <v>15763.331518815477</v>
      </c>
      <c r="L85" s="6">
        <f t="shared" si="56"/>
        <v>15763.331518815477</v>
      </c>
      <c r="M85" s="6">
        <f t="shared" si="56"/>
        <v>15763.331518815477</v>
      </c>
    </row>
    <row r="86" spans="1:13" x14ac:dyDescent="0.3">
      <c r="A86" t="s">
        <v>43</v>
      </c>
      <c r="F86" s="15">
        <f>23515</f>
        <v>23515</v>
      </c>
      <c r="G86" s="15">
        <f>20810</f>
        <v>20810</v>
      </c>
      <c r="H86" s="15">
        <f>22387</f>
        <v>22387</v>
      </c>
      <c r="I86" s="6">
        <f>I44*I32</f>
        <v>24376.761551987263</v>
      </c>
      <c r="J86" s="6">
        <f t="shared" ref="J86:M86" si="57">J44*J32</f>
        <v>26396.770737315241</v>
      </c>
      <c r="K86" s="6">
        <f t="shared" si="57"/>
        <v>28589.576431132387</v>
      </c>
      <c r="L86" s="6">
        <f t="shared" si="57"/>
        <v>30970.186014176543</v>
      </c>
      <c r="M86" s="6">
        <f t="shared" si="57"/>
        <v>33554.924628257839</v>
      </c>
    </row>
    <row r="87" spans="1:13" x14ac:dyDescent="0.3">
      <c r="A87" t="s">
        <v>44</v>
      </c>
      <c r="F87" s="15">
        <f>1141</f>
        <v>1141</v>
      </c>
      <c r="G87" s="15">
        <f>1183</f>
        <v>1183</v>
      </c>
      <c r="H87" s="15">
        <f>1116</f>
        <v>1116</v>
      </c>
      <c r="I87" s="6">
        <f>$J$47*I33</f>
        <v>1626.9865307980499</v>
      </c>
      <c r="J87" s="6">
        <f t="shared" ref="J87:M87" si="58">$J$47*J33</f>
        <v>1626.9865307980499</v>
      </c>
      <c r="K87" s="6">
        <f t="shared" si="58"/>
        <v>1626.9865307980499</v>
      </c>
      <c r="L87" s="6">
        <f t="shared" si="58"/>
        <v>1626.9865307980499</v>
      </c>
      <c r="M87" s="6">
        <f t="shared" si="58"/>
        <v>1626.9865307980499</v>
      </c>
    </row>
    <row r="88" spans="1:13" x14ac:dyDescent="0.3">
      <c r="A88" t="s">
        <v>53</v>
      </c>
      <c r="F88" s="15">
        <f>1741</f>
        <v>1741</v>
      </c>
      <c r="G88" s="15">
        <f>1751</f>
        <v>1751</v>
      </c>
      <c r="H88" s="15">
        <f>1737</f>
        <v>1737</v>
      </c>
      <c r="I88" s="6">
        <f>I200</f>
        <v>1614.4078556566969</v>
      </c>
      <c r="J88" s="6">
        <f t="shared" ref="J88:M88" si="59">J200</f>
        <v>1486.0538805292585</v>
      </c>
      <c r="K88" s="6">
        <f t="shared" si="59"/>
        <v>1351.6672685708306</v>
      </c>
      <c r="L88" s="6">
        <f t="shared" si="59"/>
        <v>1210.9644858503566</v>
      </c>
      <c r="M88" s="6">
        <f t="shared" si="59"/>
        <v>1063.6486723420203</v>
      </c>
    </row>
    <row r="89" spans="1:13" x14ac:dyDescent="0.3">
      <c r="A89" t="s">
        <v>45</v>
      </c>
      <c r="F89" s="15">
        <f>200</f>
        <v>200</v>
      </c>
      <c r="G89" s="15">
        <f>2119</f>
        <v>2119</v>
      </c>
      <c r="H89" s="15">
        <f>0</f>
        <v>0</v>
      </c>
      <c r="I89" s="6">
        <f>0</f>
        <v>0</v>
      </c>
      <c r="J89" s="6">
        <f>0</f>
        <v>0</v>
      </c>
      <c r="K89" s="6">
        <f>0</f>
        <v>0</v>
      </c>
      <c r="L89" s="6">
        <f>0</f>
        <v>0</v>
      </c>
      <c r="M89" s="6">
        <f>0</f>
        <v>0</v>
      </c>
    </row>
    <row r="90" spans="1:13" x14ac:dyDescent="0.3">
      <c r="A90" t="s">
        <v>46</v>
      </c>
      <c r="F90" s="15">
        <f>2772</f>
        <v>2772</v>
      </c>
      <c r="G90" s="15">
        <f>3624</f>
        <v>3624</v>
      </c>
      <c r="H90" s="15">
        <f>4068</f>
        <v>4068</v>
      </c>
      <c r="I90" s="6">
        <f>-I168</f>
        <v>3287</v>
      </c>
      <c r="J90" s="6">
        <f t="shared" ref="J90:M90" si="60">-J168</f>
        <v>3287</v>
      </c>
      <c r="K90" s="6">
        <f t="shared" si="60"/>
        <v>3287</v>
      </c>
      <c r="L90" s="6">
        <f t="shared" si="60"/>
        <v>3287</v>
      </c>
      <c r="M90" s="6">
        <f t="shared" si="60"/>
        <v>3287</v>
      </c>
    </row>
    <row r="91" spans="1:13" s="4" customFormat="1" x14ac:dyDescent="0.3">
      <c r="A91" s="4" t="s">
        <v>47</v>
      </c>
      <c r="F91" s="7">
        <f>SUM(F83:F90)</f>
        <v>79189</v>
      </c>
      <c r="G91" s="7">
        <f>SUM(G83:G90)</f>
        <v>84609</v>
      </c>
      <c r="H91" s="7">
        <f>SUM(H83:H90)</f>
        <v>88692</v>
      </c>
      <c r="I91" s="7">
        <f>SUM(I83:I90)</f>
        <v>92662.583422533891</v>
      </c>
      <c r="J91" s="7">
        <f t="shared" ref="J91:M91" si="61">SUM(J83:J90)</f>
        <v>98304.567194171104</v>
      </c>
      <c r="K91" s="7">
        <f t="shared" si="61"/>
        <v>104425.51850993081</v>
      </c>
      <c r="L91" s="7">
        <f t="shared" si="61"/>
        <v>111066.44646068104</v>
      </c>
      <c r="M91" s="7">
        <f t="shared" si="61"/>
        <v>118271.89823590429</v>
      </c>
    </row>
    <row r="92" spans="1:13" s="1" customFormat="1" x14ac:dyDescent="0.3">
      <c r="F92" s="17"/>
      <c r="G92" s="17"/>
      <c r="H92" s="17"/>
      <c r="I92" s="17"/>
      <c r="J92" s="17"/>
      <c r="K92" s="17"/>
      <c r="L92" s="17"/>
      <c r="M92" s="17"/>
    </row>
    <row r="93" spans="1:13" x14ac:dyDescent="0.3">
      <c r="A93" t="s">
        <v>48</v>
      </c>
      <c r="F93" s="15">
        <f>16034</f>
        <v>16034</v>
      </c>
      <c r="G93" s="15">
        <f>14899</f>
        <v>14899</v>
      </c>
      <c r="H93" s="15">
        <f>13643</f>
        <v>13643</v>
      </c>
      <c r="I93" s="6">
        <f>I201</f>
        <v>12680.11881100997</v>
      </c>
      <c r="J93" s="6">
        <f t="shared" ref="J93:M93" si="62">J201</f>
        <v>11671.982206137407</v>
      </c>
      <c r="K93" s="6">
        <f t="shared" si="62"/>
        <v>10616.463180835834</v>
      </c>
      <c r="L93" s="6">
        <f t="shared" si="62"/>
        <v>9511.3347613450878</v>
      </c>
      <c r="M93" s="6">
        <f t="shared" si="62"/>
        <v>8354.2653061382753</v>
      </c>
    </row>
    <row r="94" spans="1:13" x14ac:dyDescent="0.3">
      <c r="A94" t="s">
        <v>49</v>
      </c>
      <c r="F94" s="15">
        <f>58638</f>
        <v>58638</v>
      </c>
      <c r="G94" s="15">
        <f>60527</f>
        <v>60527</v>
      </c>
      <c r="H94" s="15">
        <f>60502</f>
        <v>60502</v>
      </c>
      <c r="I94" s="6">
        <f>I169</f>
        <v>57996</v>
      </c>
      <c r="J94" s="6">
        <f t="shared" ref="J94:M94" si="63">J169</f>
        <v>54709</v>
      </c>
      <c r="K94" s="6">
        <f t="shared" si="63"/>
        <v>51422</v>
      </c>
      <c r="L94" s="6">
        <f t="shared" si="63"/>
        <v>48135</v>
      </c>
      <c r="M94" s="6">
        <f t="shared" si="63"/>
        <v>44848</v>
      </c>
    </row>
    <row r="95" spans="1:13" x14ac:dyDescent="0.3">
      <c r="A95" t="s">
        <v>50</v>
      </c>
      <c r="F95" s="15">
        <f>4311</f>
        <v>4311</v>
      </c>
      <c r="G95" s="15">
        <f>3806</f>
        <v>3806</v>
      </c>
      <c r="H95" s="15">
        <f>3832</f>
        <v>3832</v>
      </c>
      <c r="I95" s="6">
        <f>H95</f>
        <v>3832</v>
      </c>
      <c r="J95" s="6">
        <f t="shared" ref="J95:M95" si="64">I95</f>
        <v>3832</v>
      </c>
      <c r="K95" s="6">
        <f t="shared" si="64"/>
        <v>3832</v>
      </c>
      <c r="L95" s="6">
        <f t="shared" si="64"/>
        <v>3832</v>
      </c>
      <c r="M95" s="6">
        <f t="shared" si="64"/>
        <v>3832</v>
      </c>
    </row>
    <row r="96" spans="1:13" x14ac:dyDescent="0.3">
      <c r="A96" t="s">
        <v>51</v>
      </c>
      <c r="F96" s="15">
        <f>3250</f>
        <v>3250</v>
      </c>
      <c r="G96" s="15">
        <f>3311</f>
        <v>3311</v>
      </c>
      <c r="H96" s="15">
        <f>1994</f>
        <v>1994</v>
      </c>
      <c r="I96" s="6">
        <f>H96</f>
        <v>1994</v>
      </c>
      <c r="J96" s="6">
        <f t="shared" ref="J96:M96" si="65">I96</f>
        <v>1994</v>
      </c>
      <c r="K96" s="6">
        <f t="shared" si="65"/>
        <v>1994</v>
      </c>
      <c r="L96" s="6">
        <f t="shared" si="65"/>
        <v>1994</v>
      </c>
      <c r="M96" s="6">
        <f t="shared" si="65"/>
        <v>1994</v>
      </c>
    </row>
    <row r="97" spans="1:13" x14ac:dyDescent="0.3">
      <c r="A97" t="s">
        <v>52</v>
      </c>
      <c r="F97" s="15">
        <f>5459</f>
        <v>5459</v>
      </c>
      <c r="G97" s="15">
        <f>4902</f>
        <v>4902</v>
      </c>
      <c r="H97" s="15">
        <f>4716</f>
        <v>4716</v>
      </c>
      <c r="I97" s="6">
        <f>I191</f>
        <v>4536.7919999999995</v>
      </c>
      <c r="J97" s="6">
        <f t="shared" ref="J97:M97" si="66">J191</f>
        <v>4364.3939039999996</v>
      </c>
      <c r="K97" s="6">
        <f t="shared" si="66"/>
        <v>4198.5469356479998</v>
      </c>
      <c r="L97" s="6">
        <f t="shared" si="66"/>
        <v>4039.0021520933756</v>
      </c>
      <c r="M97" s="6">
        <f t="shared" si="66"/>
        <v>3885.5200703138271</v>
      </c>
    </row>
    <row r="98" spans="1:13" x14ac:dyDescent="0.3">
      <c r="A98" t="s">
        <v>54</v>
      </c>
      <c r="F98" s="15">
        <f>6211</f>
        <v>6211</v>
      </c>
      <c r="G98" s="15">
        <f>5431</f>
        <v>5431</v>
      </c>
      <c r="H98" s="15">
        <f>4777</f>
        <v>4777</v>
      </c>
      <c r="I98" s="6">
        <f>H98</f>
        <v>4777</v>
      </c>
      <c r="J98" s="6">
        <f t="shared" ref="J98:M98" si="67">I98</f>
        <v>4777</v>
      </c>
      <c r="K98" s="6">
        <f t="shared" si="67"/>
        <v>4777</v>
      </c>
      <c r="L98" s="6">
        <f t="shared" si="67"/>
        <v>4777</v>
      </c>
      <c r="M98" s="6">
        <f t="shared" si="67"/>
        <v>4777</v>
      </c>
    </row>
    <row r="99" spans="1:13" s="4" customFormat="1" x14ac:dyDescent="0.3">
      <c r="A99" s="4" t="s">
        <v>131</v>
      </c>
      <c r="F99" s="7">
        <f>SUM(F91:F98)</f>
        <v>173092</v>
      </c>
      <c r="G99" s="7">
        <f>SUM(G91:G98)</f>
        <v>177485</v>
      </c>
      <c r="H99" s="7">
        <f>SUM(H91:H98)</f>
        <v>178156</v>
      </c>
      <c r="I99" s="7">
        <f>SUM(I91:I98)</f>
        <v>178478.49423354384</v>
      </c>
      <c r="J99" s="7">
        <f t="shared" ref="J99:M99" si="68">SUM(J91:J98)</f>
        <v>179652.94330430852</v>
      </c>
      <c r="K99" s="7">
        <f t="shared" si="68"/>
        <v>181265.52862641463</v>
      </c>
      <c r="L99" s="7">
        <f t="shared" si="68"/>
        <v>183354.78337411949</v>
      </c>
      <c r="M99" s="7">
        <f t="shared" si="68"/>
        <v>185962.68361235637</v>
      </c>
    </row>
    <row r="100" spans="1:13" x14ac:dyDescent="0.3">
      <c r="F100" s="6"/>
      <c r="G100" s="6"/>
      <c r="H100" s="6"/>
      <c r="I100" s="6"/>
      <c r="J100" s="6"/>
      <c r="K100" s="6"/>
      <c r="L100" s="6"/>
      <c r="M100" s="6"/>
    </row>
    <row r="101" spans="1:13" x14ac:dyDescent="0.3">
      <c r="A101" t="s">
        <v>55</v>
      </c>
      <c r="F101" s="6"/>
      <c r="G101" s="6"/>
      <c r="H101" s="6"/>
      <c r="I101" s="6"/>
      <c r="J101" s="6"/>
      <c r="K101" s="6"/>
      <c r="L101" s="6"/>
      <c r="M101" s="6"/>
    </row>
    <row r="102" spans="1:13" x14ac:dyDescent="0.3">
      <c r="A102" t="s">
        <v>132</v>
      </c>
      <c r="F102" s="15">
        <v>0</v>
      </c>
      <c r="G102" s="15">
        <v>0</v>
      </c>
      <c r="H102" s="15">
        <v>0</v>
      </c>
      <c r="I102" s="6">
        <f>H102</f>
        <v>0</v>
      </c>
      <c r="J102" s="6">
        <f t="shared" ref="J102:M102" si="69">I102</f>
        <v>0</v>
      </c>
      <c r="K102" s="6">
        <f t="shared" si="69"/>
        <v>0</v>
      </c>
      <c r="L102" s="6">
        <f t="shared" si="69"/>
        <v>0</v>
      </c>
      <c r="M102" s="6">
        <f t="shared" si="69"/>
        <v>0</v>
      </c>
    </row>
    <row r="103" spans="1:13" x14ac:dyDescent="0.3">
      <c r="A103" t="s">
        <v>56</v>
      </c>
      <c r="F103" s="15">
        <f>48992</f>
        <v>48992</v>
      </c>
      <c r="G103" s="15">
        <f>49661</f>
        <v>49661</v>
      </c>
      <c r="H103" s="15">
        <f>50402</f>
        <v>50402</v>
      </c>
      <c r="I103" s="6">
        <f>H103+I119+I148+I149</f>
        <v>51106.333333333336</v>
      </c>
      <c r="J103" s="6">
        <f t="shared" ref="J103:M103" si="70">I103+J119+J148+J149</f>
        <v>51835.111111111117</v>
      </c>
      <c r="K103" s="6">
        <f t="shared" si="70"/>
        <v>52569.814814814818</v>
      </c>
      <c r="L103" s="6">
        <f t="shared" si="70"/>
        <v>53292.419753086426</v>
      </c>
      <c r="M103" s="6">
        <f t="shared" si="70"/>
        <v>54021.115226337461</v>
      </c>
    </row>
    <row r="104" spans="1:13" x14ac:dyDescent="0.3">
      <c r="A104" t="s">
        <v>57</v>
      </c>
      <c r="F104" s="15">
        <f>-33838</f>
        <v>-33838</v>
      </c>
      <c r="G104" s="15">
        <f>-36818</f>
        <v>-36818</v>
      </c>
      <c r="H104" s="15">
        <f>-36790</f>
        <v>-36790</v>
      </c>
      <c r="I104" s="6">
        <f>H104+I146</f>
        <v>-36818</v>
      </c>
      <c r="J104" s="6">
        <f t="shared" ref="J104:M104" si="71">I104+J146</f>
        <v>-36846</v>
      </c>
      <c r="K104" s="6">
        <f t="shared" si="71"/>
        <v>-36874</v>
      </c>
      <c r="L104" s="6">
        <f t="shared" si="71"/>
        <v>-36902</v>
      </c>
      <c r="M104" s="6">
        <f t="shared" si="71"/>
        <v>-36930</v>
      </c>
    </row>
    <row r="105" spans="1:13" x14ac:dyDescent="0.3">
      <c r="A105" t="s">
        <v>58</v>
      </c>
      <c r="F105" s="15">
        <f>61604</f>
        <v>61604</v>
      </c>
      <c r="G105" s="15">
        <f>62837</f>
        <v>62837</v>
      </c>
      <c r="H105" s="15">
        <f>61196</f>
        <v>61196</v>
      </c>
      <c r="I105" s="6">
        <f>H105+I61+I147</f>
        <v>64885.317823991318</v>
      </c>
      <c r="J105" s="6">
        <f t="shared" ref="J105:M105" si="72">I105+J61+J147</f>
        <v>71774.724384508256</v>
      </c>
      <c r="K105" s="6">
        <f t="shared" si="72"/>
        <v>78778.999528322209</v>
      </c>
      <c r="L105" s="6">
        <f t="shared" si="72"/>
        <v>85877.670315499505</v>
      </c>
      <c r="M105" s="6">
        <f t="shared" si="72"/>
        <v>93047.81283892371</v>
      </c>
    </row>
    <row r="106" spans="1:13" x14ac:dyDescent="0.3">
      <c r="A106" t="s">
        <v>144</v>
      </c>
      <c r="F106" s="15">
        <f>-297</f>
        <v>-297</v>
      </c>
      <c r="G106" s="15">
        <f>-120</f>
        <v>-120</v>
      </c>
      <c r="H106" s="15">
        <f>406</f>
        <v>406</v>
      </c>
      <c r="I106" s="6">
        <f>H106</f>
        <v>406</v>
      </c>
      <c r="J106" s="6">
        <f t="shared" ref="J106:M106" si="73">I106</f>
        <v>406</v>
      </c>
      <c r="K106" s="6">
        <f t="shared" si="73"/>
        <v>406</v>
      </c>
      <c r="L106" s="6">
        <f t="shared" si="73"/>
        <v>406</v>
      </c>
      <c r="M106" s="6">
        <f t="shared" si="73"/>
        <v>406</v>
      </c>
    </row>
    <row r="107" spans="1:13" s="4" customFormat="1" x14ac:dyDescent="0.3">
      <c r="A107" s="4" t="s">
        <v>59</v>
      </c>
      <c r="F107" s="7">
        <f>SUM(F102:F106)</f>
        <v>76461</v>
      </c>
      <c r="G107" s="7">
        <f>SUM(G102:G106)</f>
        <v>75560</v>
      </c>
      <c r="H107" s="7">
        <f>SUM(H102:H106)</f>
        <v>75214</v>
      </c>
      <c r="I107" s="7">
        <f>SUM(I102:I106)</f>
        <v>79579.651157324653</v>
      </c>
      <c r="J107" s="7">
        <f t="shared" ref="J107:M107" si="74">SUM(J102:J106)</f>
        <v>87169.835495619365</v>
      </c>
      <c r="K107" s="7">
        <f t="shared" si="74"/>
        <v>94880.814343137026</v>
      </c>
      <c r="L107" s="7">
        <f t="shared" si="74"/>
        <v>102674.09006858594</v>
      </c>
      <c r="M107" s="7">
        <f t="shared" si="74"/>
        <v>110544.92806526116</v>
      </c>
    </row>
    <row r="108" spans="1:13" x14ac:dyDescent="0.3">
      <c r="A108" t="s">
        <v>60</v>
      </c>
      <c r="F108" s="15">
        <f>175</f>
        <v>175</v>
      </c>
      <c r="G108" s="15">
        <f>170</f>
        <v>170</v>
      </c>
      <c r="H108" s="15">
        <f>168</f>
        <v>168</v>
      </c>
      <c r="I108" s="6">
        <f>H108</f>
        <v>168</v>
      </c>
      <c r="J108" s="6">
        <f t="shared" ref="J108:M108" si="75">I108</f>
        <v>168</v>
      </c>
      <c r="K108" s="6">
        <f t="shared" si="75"/>
        <v>168</v>
      </c>
      <c r="L108" s="6">
        <f t="shared" si="75"/>
        <v>168</v>
      </c>
      <c r="M108" s="6">
        <f t="shared" si="75"/>
        <v>168</v>
      </c>
    </row>
    <row r="109" spans="1:13" s="5" customFormat="1" x14ac:dyDescent="0.3">
      <c r="A109" s="5" t="s">
        <v>61</v>
      </c>
      <c r="F109" s="18">
        <f>F107+F108</f>
        <v>76636</v>
      </c>
      <c r="G109" s="18">
        <f>G107+G108</f>
        <v>75730</v>
      </c>
      <c r="H109" s="18">
        <f>H107+H108</f>
        <v>75382</v>
      </c>
      <c r="I109" s="18">
        <f>I107+I108</f>
        <v>79747.651157324653</v>
      </c>
      <c r="J109" s="18">
        <f t="shared" ref="J109:M109" si="76">J107+J108</f>
        <v>87337.835495619365</v>
      </c>
      <c r="K109" s="18">
        <f t="shared" si="76"/>
        <v>95048.814343137026</v>
      </c>
      <c r="L109" s="18">
        <f t="shared" si="76"/>
        <v>102842.09006858594</v>
      </c>
      <c r="M109" s="18">
        <f t="shared" si="76"/>
        <v>110712.92806526116</v>
      </c>
    </row>
    <row r="110" spans="1:13" s="4" customFormat="1" x14ac:dyDescent="0.3">
      <c r="A110" s="4" t="s">
        <v>156</v>
      </c>
      <c r="F110" s="7">
        <f>F109+F99</f>
        <v>249728</v>
      </c>
      <c r="G110" s="7">
        <f>G109+G99</f>
        <v>253215</v>
      </c>
      <c r="H110" s="7">
        <f>H109+H99</f>
        <v>253538</v>
      </c>
      <c r="I110" s="7">
        <f>I109+I99</f>
        <v>258226.14539086848</v>
      </c>
      <c r="J110" s="7">
        <f t="shared" ref="J110:M110" si="77">J109+J99</f>
        <v>266990.77879992791</v>
      </c>
      <c r="K110" s="7">
        <f t="shared" si="77"/>
        <v>276314.34296955168</v>
      </c>
      <c r="L110" s="7">
        <f t="shared" si="77"/>
        <v>286196.87344270543</v>
      </c>
      <c r="M110" s="7">
        <f t="shared" si="77"/>
        <v>296675.61167761753</v>
      </c>
    </row>
    <row r="112" spans="1:13" x14ac:dyDescent="0.3">
      <c r="A112" s="1" t="s">
        <v>121</v>
      </c>
      <c r="F112">
        <f>F81-F110</f>
        <v>0</v>
      </c>
      <c r="G112">
        <f t="shared" ref="G112:M112" si="78">G81-G110</f>
        <v>0</v>
      </c>
      <c r="H112">
        <f t="shared" si="78"/>
        <v>0</v>
      </c>
      <c r="I112">
        <f t="shared" si="78"/>
        <v>0</v>
      </c>
      <c r="J112">
        <f t="shared" si="78"/>
        <v>0</v>
      </c>
      <c r="K112">
        <f t="shared" si="78"/>
        <v>0</v>
      </c>
      <c r="L112">
        <f t="shared" si="78"/>
        <v>0</v>
      </c>
      <c r="M112">
        <f t="shared" si="78"/>
        <v>0</v>
      </c>
    </row>
    <row r="113" spans="1:13" s="24" customFormat="1" ht="21" customHeight="1" x14ac:dyDescent="0.3">
      <c r="A113" s="26" t="s">
        <v>62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</row>
    <row r="115" spans="1:13" x14ac:dyDescent="0.3">
      <c r="A115" t="s">
        <v>26</v>
      </c>
      <c r="F115" s="15">
        <f>F61</f>
        <v>8368</v>
      </c>
      <c r="G115" s="15">
        <f>G61</f>
        <v>4586</v>
      </c>
      <c r="H115" s="15">
        <f>H61</f>
        <v>1728</v>
      </c>
      <c r="I115" s="6">
        <f>I61</f>
        <v>7091.3790055313184</v>
      </c>
      <c r="J115" s="6">
        <f t="shared" ref="J115:M115" si="79">J61</f>
        <v>7224.4967971949391</v>
      </c>
      <c r="K115" s="6">
        <f t="shared" si="79"/>
        <v>7339.3653804919568</v>
      </c>
      <c r="L115" s="6">
        <f t="shared" si="79"/>
        <v>7433.761023855297</v>
      </c>
      <c r="M115" s="6">
        <f t="shared" si="79"/>
        <v>7505.2327601022171</v>
      </c>
    </row>
    <row r="116" spans="1:13" x14ac:dyDescent="0.3">
      <c r="A116" t="s">
        <v>141</v>
      </c>
      <c r="F116" s="15">
        <f>4366</f>
        <v>4366</v>
      </c>
      <c r="G116" s="15">
        <f>4597</f>
        <v>4597</v>
      </c>
      <c r="H116" s="15">
        <f>4606</f>
        <v>4606</v>
      </c>
      <c r="I116" s="6">
        <f>I175</f>
        <v>4317</v>
      </c>
      <c r="J116" s="6">
        <f t="shared" ref="J116:M116" si="80">J175</f>
        <v>4204</v>
      </c>
      <c r="K116" s="6">
        <f t="shared" si="80"/>
        <v>3930</v>
      </c>
      <c r="L116" s="6">
        <f t="shared" si="80"/>
        <v>3852</v>
      </c>
      <c r="M116" s="6">
        <f t="shared" si="80"/>
        <v>3819</v>
      </c>
    </row>
    <row r="117" spans="1:13" x14ac:dyDescent="0.3">
      <c r="A117" t="s">
        <v>17</v>
      </c>
      <c r="F117" s="15">
        <f>0</f>
        <v>0</v>
      </c>
      <c r="G117" s="15">
        <f>0</f>
        <v>0</v>
      </c>
      <c r="H117" s="15">
        <f>5725</f>
        <v>5725</v>
      </c>
      <c r="I117" s="6">
        <f>0</f>
        <v>0</v>
      </c>
      <c r="J117" s="6">
        <f>0</f>
        <v>0</v>
      </c>
      <c r="K117" s="6">
        <f>0</f>
        <v>0</v>
      </c>
      <c r="L117" s="6">
        <f>0</f>
        <v>0</v>
      </c>
      <c r="M117" s="6">
        <f>0</f>
        <v>0</v>
      </c>
    </row>
    <row r="118" spans="1:13" x14ac:dyDescent="0.3">
      <c r="A118" t="s">
        <v>63</v>
      </c>
      <c r="F118" s="15">
        <f>349</f>
        <v>349</v>
      </c>
      <c r="G118" s="15">
        <f>0</f>
        <v>0</v>
      </c>
      <c r="H118" s="15">
        <f>0</f>
        <v>0</v>
      </c>
      <c r="I118" s="6">
        <f>0</f>
        <v>0</v>
      </c>
      <c r="J118" s="6">
        <f>0</f>
        <v>0</v>
      </c>
      <c r="K118" s="6">
        <f>0</f>
        <v>0</v>
      </c>
      <c r="L118" s="6">
        <f>0</f>
        <v>0</v>
      </c>
      <c r="M118" s="6">
        <f>0</f>
        <v>0</v>
      </c>
    </row>
    <row r="119" spans="1:13" x14ac:dyDescent="0.3">
      <c r="A119" t="s">
        <v>64</v>
      </c>
      <c r="F119" s="15">
        <f>588</f>
        <v>588</v>
      </c>
      <c r="G119" s="15">
        <f>540</f>
        <v>540</v>
      </c>
      <c r="H119" s="15">
        <f>535</f>
        <v>535</v>
      </c>
      <c r="I119" s="6">
        <f>H119</f>
        <v>535</v>
      </c>
      <c r="J119" s="6">
        <f t="shared" ref="J119:M119" si="81">I119</f>
        <v>535</v>
      </c>
      <c r="K119" s="6">
        <f t="shared" si="81"/>
        <v>535</v>
      </c>
      <c r="L119" s="6">
        <f t="shared" si="81"/>
        <v>535</v>
      </c>
      <c r="M119" s="6">
        <f t="shared" si="81"/>
        <v>535</v>
      </c>
    </row>
    <row r="120" spans="1:13" x14ac:dyDescent="0.3">
      <c r="A120" t="s">
        <v>145</v>
      </c>
      <c r="F120" s="15">
        <f>0</f>
        <v>0</v>
      </c>
      <c r="G120" s="15">
        <f>0</f>
        <v>0</v>
      </c>
      <c r="H120" s="15">
        <f>236</f>
        <v>236</v>
      </c>
      <c r="I120" s="6">
        <f>0</f>
        <v>0</v>
      </c>
      <c r="J120" s="6">
        <f>0</f>
        <v>0</v>
      </c>
      <c r="K120" s="6">
        <f>0</f>
        <v>0</v>
      </c>
      <c r="L120" s="6">
        <f>0</f>
        <v>0</v>
      </c>
      <c r="M120" s="6">
        <f>0</f>
        <v>0</v>
      </c>
    </row>
    <row r="121" spans="1:13" x14ac:dyDescent="0.3">
      <c r="A121" t="s">
        <v>146</v>
      </c>
      <c r="F121" s="15">
        <f>0</f>
        <v>0</v>
      </c>
      <c r="G121" s="15">
        <f>-491</f>
        <v>-491</v>
      </c>
      <c r="H121" s="15">
        <f>0</f>
        <v>0</v>
      </c>
      <c r="I121" s="6">
        <f>0</f>
        <v>0</v>
      </c>
      <c r="J121" s="6">
        <f>0</f>
        <v>0</v>
      </c>
      <c r="K121" s="6">
        <f>0</f>
        <v>0</v>
      </c>
      <c r="L121" s="6">
        <f>0</f>
        <v>0</v>
      </c>
      <c r="M121" s="6">
        <f>0</f>
        <v>0</v>
      </c>
    </row>
    <row r="122" spans="1:13" x14ac:dyDescent="0.3">
      <c r="A122" t="s">
        <v>147</v>
      </c>
      <c r="F122" s="15">
        <f>0</f>
        <v>0</v>
      </c>
      <c r="G122" s="15">
        <f>0</f>
        <v>0</v>
      </c>
      <c r="H122" s="15">
        <f>-483</f>
        <v>-483</v>
      </c>
      <c r="I122" s="6">
        <f>0</f>
        <v>0</v>
      </c>
      <c r="J122" s="6">
        <f>0</f>
        <v>0</v>
      </c>
      <c r="K122" s="6">
        <f>0</f>
        <v>0</v>
      </c>
      <c r="L122" s="6">
        <f>0</f>
        <v>0</v>
      </c>
      <c r="M122" s="6">
        <f>0</f>
        <v>0</v>
      </c>
    </row>
    <row r="123" spans="1:13" x14ac:dyDescent="0.3">
      <c r="A123" t="s">
        <v>128</v>
      </c>
      <c r="F123" s="15">
        <f>152</f>
        <v>152</v>
      </c>
      <c r="G123" s="15">
        <f>840</f>
        <v>840</v>
      </c>
      <c r="H123" s="15">
        <f>0</f>
        <v>0</v>
      </c>
      <c r="I123" s="6">
        <f>0</f>
        <v>0</v>
      </c>
      <c r="J123" s="6">
        <f>0</f>
        <v>0</v>
      </c>
      <c r="K123" s="6">
        <f>0</f>
        <v>0</v>
      </c>
      <c r="L123" s="6">
        <f>0</f>
        <v>0</v>
      </c>
      <c r="M123" s="6">
        <f>0</f>
        <v>0</v>
      </c>
    </row>
    <row r="124" spans="1:13" x14ac:dyDescent="0.3">
      <c r="A124" t="s">
        <v>50</v>
      </c>
      <c r="F124" s="15">
        <f>-676</f>
        <v>-676</v>
      </c>
      <c r="G124" s="15">
        <f>-572</f>
        <v>-572</v>
      </c>
      <c r="H124" s="15">
        <f>102</f>
        <v>102</v>
      </c>
      <c r="I124" s="6">
        <f>0</f>
        <v>0</v>
      </c>
      <c r="J124" s="6">
        <f>0</f>
        <v>0</v>
      </c>
      <c r="K124" s="6">
        <f>0</f>
        <v>0</v>
      </c>
      <c r="L124" s="6">
        <f>0</f>
        <v>0</v>
      </c>
      <c r="M124" s="6">
        <f>0</f>
        <v>0</v>
      </c>
    </row>
    <row r="125" spans="1:13" x14ac:dyDescent="0.3">
      <c r="A125" t="s">
        <v>69</v>
      </c>
      <c r="F125" s="15">
        <f>264</f>
        <v>264</v>
      </c>
      <c r="G125" s="15">
        <f>-502</f>
        <v>-502</v>
      </c>
      <c r="H125" s="15">
        <f>-336</f>
        <v>-336</v>
      </c>
      <c r="I125" s="6">
        <f>I21-I20</f>
        <v>-278.66666666666697</v>
      </c>
      <c r="J125" s="6">
        <f t="shared" ref="J125:M125" si="82">J21-J20</f>
        <v>-278.66666666666697</v>
      </c>
      <c r="K125" s="6">
        <f t="shared" si="82"/>
        <v>-278.66666666666697</v>
      </c>
      <c r="L125" s="6">
        <f t="shared" si="82"/>
        <v>-278.66666666666697</v>
      </c>
      <c r="M125" s="6">
        <f t="shared" si="82"/>
        <v>-278.66666666666697</v>
      </c>
    </row>
    <row r="126" spans="1:13" x14ac:dyDescent="0.3">
      <c r="A126" t="s">
        <v>65</v>
      </c>
      <c r="F126" s="15">
        <f>-6260</f>
        <v>-6260</v>
      </c>
      <c r="G126" s="15">
        <f>-1301</f>
        <v>-1301</v>
      </c>
      <c r="H126" s="15">
        <f>-3498</f>
        <v>-3498</v>
      </c>
      <c r="I126" s="6">
        <f>-(I69-H69)</f>
        <v>-3154.6309134804978</v>
      </c>
      <c r="J126" s="6">
        <f t="shared" ref="J126:M126" si="83">-(J69-I69)</f>
        <v>-3557.7461189729511</v>
      </c>
      <c r="K126" s="6">
        <f t="shared" si="83"/>
        <v>-3862.0843922415515</v>
      </c>
      <c r="L126" s="6">
        <f t="shared" si="83"/>
        <v>-4192.8544515454851</v>
      </c>
      <c r="M126" s="6">
        <f t="shared" si="83"/>
        <v>-4552.3772067968093</v>
      </c>
    </row>
    <row r="127" spans="1:13" x14ac:dyDescent="0.3">
      <c r="A127" t="s">
        <v>30</v>
      </c>
      <c r="F127" s="15">
        <f>1233</f>
        <v>1233</v>
      </c>
      <c r="G127" s="15">
        <f>-102</f>
        <v>-102</v>
      </c>
      <c r="H127" s="15">
        <f>-1267</f>
        <v>-1267</v>
      </c>
      <c r="I127" s="6">
        <f>-(I70-H70)</f>
        <v>-1075.8095690909286</v>
      </c>
      <c r="J127" s="6">
        <f t="shared" ref="J127:M127" si="84">-(J70-I70)</f>
        <v>-1613.9231972342714</v>
      </c>
      <c r="K127" s="6">
        <f t="shared" si="84"/>
        <v>-1742.0982043720505</v>
      </c>
      <c r="L127" s="6">
        <f t="shared" si="84"/>
        <v>-1880.4526503350025</v>
      </c>
      <c r="M127" s="6">
        <f t="shared" si="84"/>
        <v>-2029.7949686634056</v>
      </c>
    </row>
    <row r="128" spans="1:13" x14ac:dyDescent="0.3">
      <c r="A128" t="s">
        <v>38</v>
      </c>
      <c r="F128" s="15">
        <f>-510</f>
        <v>-510</v>
      </c>
      <c r="G128" s="15">
        <f>-38</f>
        <v>-38</v>
      </c>
      <c r="H128" s="15">
        <f>-2593</f>
        <v>-2593</v>
      </c>
      <c r="I128" s="6">
        <f>(H71-I71)+(H80-I80)</f>
        <v>535.35137375901741</v>
      </c>
      <c r="J128" s="6">
        <f t="shared" ref="J128:M128" si="85">(I71-J71)+(I80-J80)</f>
        <v>-615.13385841299169</v>
      </c>
      <c r="K128" s="6">
        <f t="shared" si="85"/>
        <v>-658.09088007181072</v>
      </c>
      <c r="L128" s="6">
        <f t="shared" si="85"/>
        <v>-704.29777512757209</v>
      </c>
      <c r="M128" s="6">
        <f t="shared" si="85"/>
        <v>-754.01620568323688</v>
      </c>
    </row>
    <row r="129" spans="1:13" x14ac:dyDescent="0.3">
      <c r="A129" t="s">
        <v>148</v>
      </c>
      <c r="F129" s="15">
        <f>3618</f>
        <v>3618</v>
      </c>
      <c r="G129" s="15">
        <f>2335</f>
        <v>2335</v>
      </c>
      <c r="H129" s="15">
        <f>3855</f>
        <v>3855</v>
      </c>
      <c r="I129" s="6">
        <f>(I83-H83)+(I84-H84)</f>
        <v>2009.0959652763959</v>
      </c>
      <c r="J129" s="6">
        <f t="shared" ref="J129:M129" si="86">(J83-I83)+(J84-I84)</f>
        <v>3750.3285614366832</v>
      </c>
      <c r="K129" s="6">
        <f t="shared" si="86"/>
        <v>4062.5322339009799</v>
      </c>
      <c r="L129" s="6">
        <f t="shared" si="86"/>
        <v>4401.0211504265499</v>
      </c>
      <c r="M129" s="6">
        <f t="shared" si="86"/>
        <v>4768.0289746502822</v>
      </c>
    </row>
    <row r="130" spans="1:13" x14ac:dyDescent="0.3">
      <c r="A130" t="s">
        <v>66</v>
      </c>
      <c r="F130" s="15">
        <f>394</f>
        <v>394</v>
      </c>
      <c r="G130" s="15">
        <f>2757</f>
        <v>2757</v>
      </c>
      <c r="H130" s="15">
        <f>16</f>
        <v>16</v>
      </c>
      <c r="I130" s="6">
        <f>I85-H85</f>
        <v>364.33151881547747</v>
      </c>
      <c r="J130" s="6">
        <f t="shared" ref="J130:M130" si="87">J85-I85</f>
        <v>0</v>
      </c>
      <c r="K130" s="6">
        <f t="shared" si="87"/>
        <v>0</v>
      </c>
      <c r="L130" s="6">
        <f t="shared" si="87"/>
        <v>0</v>
      </c>
      <c r="M130" s="6">
        <f t="shared" si="87"/>
        <v>0</v>
      </c>
    </row>
    <row r="131" spans="1:13" x14ac:dyDescent="0.3">
      <c r="A131" t="s">
        <v>67</v>
      </c>
      <c r="F131" s="15">
        <f>1540</f>
        <v>1540</v>
      </c>
      <c r="G131" s="15">
        <f>-3542</f>
        <v>-3542</v>
      </c>
      <c r="H131" s="15">
        <f>2013</f>
        <v>2013</v>
      </c>
      <c r="I131" s="6">
        <f>(I86-H86)+(I87-H87)+(I97-H97)</f>
        <v>2321.5400827853127</v>
      </c>
      <c r="J131" s="6">
        <f t="shared" ref="J131:M131" si="88">(J86-I86)+(J87-I87)+(J97-I97)</f>
        <v>1847.6110893279774</v>
      </c>
      <c r="K131" s="6">
        <f t="shared" si="88"/>
        <v>2026.9587254651469</v>
      </c>
      <c r="L131" s="6">
        <f t="shared" si="88"/>
        <v>2221.0647994895312</v>
      </c>
      <c r="M131" s="6">
        <f t="shared" si="88"/>
        <v>2431.2565323017475</v>
      </c>
    </row>
    <row r="132" spans="1:13" s="4" customFormat="1" x14ac:dyDescent="0.3">
      <c r="A132" s="4" t="s">
        <v>68</v>
      </c>
      <c r="F132" s="7">
        <f>SUM(F115:F131)</f>
        <v>13426</v>
      </c>
      <c r="G132" s="7">
        <f>SUM(G115:G131)</f>
        <v>9107</v>
      </c>
      <c r="H132" s="7">
        <f>SUM(H115:H131)</f>
        <v>10639</v>
      </c>
      <c r="I132" s="7">
        <f t="shared" ref="I132" si="89">SUM(I115:I131)</f>
        <v>12664.590796929428</v>
      </c>
      <c r="J132" s="7">
        <f t="shared" ref="J132" si="90">SUM(J115:J131)</f>
        <v>11495.966606672719</v>
      </c>
      <c r="K132" s="7">
        <f t="shared" ref="K132" si="91">SUM(K115:K131)</f>
        <v>11352.916196506003</v>
      </c>
      <c r="L132" s="7">
        <f t="shared" ref="L132" si="92">SUM(L115:L131)</f>
        <v>11386.575430096653</v>
      </c>
      <c r="M132" s="7">
        <f t="shared" ref="M132" si="93">SUM(M115:M131)</f>
        <v>11443.663219244128</v>
      </c>
    </row>
    <row r="133" spans="1:13" x14ac:dyDescent="0.3">
      <c r="F133" s="6"/>
      <c r="G133" s="6"/>
      <c r="H133" s="6"/>
      <c r="I133" s="6"/>
      <c r="J133" s="6"/>
      <c r="K133" s="6"/>
      <c r="L133" s="6"/>
      <c r="M133" s="6"/>
    </row>
    <row r="134" spans="1:13" x14ac:dyDescent="0.3">
      <c r="A134" t="s">
        <v>70</v>
      </c>
      <c r="F134" s="15">
        <f>7729</f>
        <v>7729</v>
      </c>
      <c r="G134" s="15">
        <f>10353</f>
        <v>10353</v>
      </c>
      <c r="H134" s="15">
        <f>12383</f>
        <v>12383</v>
      </c>
      <c r="I134" s="6">
        <f>H134</f>
        <v>12383</v>
      </c>
      <c r="J134" s="6">
        <f t="shared" ref="J134:M134" si="94">I134</f>
        <v>12383</v>
      </c>
      <c r="K134" s="6">
        <f t="shared" si="94"/>
        <v>12383</v>
      </c>
      <c r="L134" s="6">
        <f t="shared" si="94"/>
        <v>12383</v>
      </c>
      <c r="M134" s="6">
        <f t="shared" si="94"/>
        <v>12383</v>
      </c>
    </row>
    <row r="135" spans="1:13" x14ac:dyDescent="0.3">
      <c r="A135" t="s">
        <v>71</v>
      </c>
      <c r="F135" s="15">
        <f>-9043</f>
        <v>-9043</v>
      </c>
      <c r="G135" s="15">
        <f>-15191</f>
        <v>-15191</v>
      </c>
      <c r="H135" s="15">
        <f>-15012</f>
        <v>-15012</v>
      </c>
      <c r="I135" s="6">
        <f>H135</f>
        <v>-15012</v>
      </c>
      <c r="J135" s="6">
        <f t="shared" ref="J135:M135" si="95">I135</f>
        <v>-15012</v>
      </c>
      <c r="K135" s="6">
        <f t="shared" si="95"/>
        <v>-15012</v>
      </c>
      <c r="L135" s="6">
        <f t="shared" si="95"/>
        <v>-15012</v>
      </c>
      <c r="M135" s="6">
        <f t="shared" si="95"/>
        <v>-15012</v>
      </c>
    </row>
    <row r="136" spans="1:13" x14ac:dyDescent="0.3">
      <c r="A136" t="s">
        <v>72</v>
      </c>
      <c r="F136" s="15">
        <f>-3031</f>
        <v>-3031</v>
      </c>
      <c r="G136" s="15">
        <f>-2781</f>
        <v>-2781</v>
      </c>
      <c r="H136" s="15">
        <f>-2832</f>
        <v>-2832</v>
      </c>
      <c r="I136" s="6">
        <f>H136</f>
        <v>-2832</v>
      </c>
      <c r="J136" s="6">
        <f t="shared" ref="J136:M136" si="96">I136</f>
        <v>-2832</v>
      </c>
      <c r="K136" s="6">
        <f t="shared" si="96"/>
        <v>-2832</v>
      </c>
      <c r="L136" s="6">
        <f t="shared" si="96"/>
        <v>-2832</v>
      </c>
      <c r="M136" s="6">
        <f t="shared" si="96"/>
        <v>-2832</v>
      </c>
    </row>
    <row r="137" spans="1:13" x14ac:dyDescent="0.3">
      <c r="A137" t="s">
        <v>133</v>
      </c>
      <c r="F137" s="15">
        <f>-16612</f>
        <v>-16612</v>
      </c>
      <c r="G137" s="15">
        <f>-95</f>
        <v>-95</v>
      </c>
      <c r="H137" s="15">
        <f>-436</f>
        <v>-436</v>
      </c>
      <c r="I137" s="6">
        <f>0</f>
        <v>0</v>
      </c>
      <c r="J137" s="6">
        <f>0</f>
        <v>0</v>
      </c>
      <c r="K137" s="6">
        <f>0</f>
        <v>0</v>
      </c>
      <c r="L137" s="6">
        <f>0</f>
        <v>0</v>
      </c>
      <c r="M137" s="6">
        <f>0</f>
        <v>0</v>
      </c>
    </row>
    <row r="138" spans="1:13" x14ac:dyDescent="0.3">
      <c r="A138" t="s">
        <v>73</v>
      </c>
      <c r="F138" s="15">
        <f>68</f>
        <v>68</v>
      </c>
      <c r="G138" s="15">
        <f>101</f>
        <v>101</v>
      </c>
      <c r="H138" s="15">
        <f>26</f>
        <v>26</v>
      </c>
      <c r="I138" s="6">
        <f>0</f>
        <v>0</v>
      </c>
      <c r="J138" s="6">
        <f>0</f>
        <v>0</v>
      </c>
      <c r="K138" s="6">
        <f>0</f>
        <v>0</v>
      </c>
      <c r="L138" s="6">
        <f>0</f>
        <v>0</v>
      </c>
      <c r="M138" s="6">
        <f>0</f>
        <v>0</v>
      </c>
    </row>
    <row r="139" spans="1:13" s="4" customFormat="1" x14ac:dyDescent="0.3">
      <c r="A139" s="4" t="s">
        <v>68</v>
      </c>
      <c r="F139" s="7">
        <f>SUM(F134:F138)</f>
        <v>-20889</v>
      </c>
      <c r="G139" s="7">
        <f>SUM(G134:G138)</f>
        <v>-7613</v>
      </c>
      <c r="H139" s="7">
        <f>SUM(H134:H138)</f>
        <v>-5871</v>
      </c>
      <c r="I139" s="7">
        <f t="shared" ref="I139" si="97">SUM(I134:I138)</f>
        <v>-5461</v>
      </c>
      <c r="J139" s="7">
        <f t="shared" ref="J139" si="98">SUM(J134:J138)</f>
        <v>-5461</v>
      </c>
      <c r="K139" s="7">
        <f t="shared" ref="K139" si="99">SUM(K134:K138)</f>
        <v>-5461</v>
      </c>
      <c r="L139" s="7">
        <f t="shared" ref="L139" si="100">SUM(L134:L138)</f>
        <v>-5461</v>
      </c>
      <c r="M139" s="7">
        <f t="shared" ref="M139" si="101">SUM(M134:M138)</f>
        <v>-5461</v>
      </c>
    </row>
    <row r="140" spans="1:13" x14ac:dyDescent="0.3">
      <c r="F140" s="6"/>
      <c r="G140" s="6"/>
      <c r="H140" s="6"/>
      <c r="I140" s="6"/>
      <c r="J140" s="6"/>
      <c r="K140" s="6"/>
      <c r="L140" s="6"/>
      <c r="M140" s="6"/>
    </row>
    <row r="141" spans="1:13" x14ac:dyDescent="0.3">
      <c r="A141" t="s">
        <v>134</v>
      </c>
      <c r="F141" s="15">
        <f>200</f>
        <v>200</v>
      </c>
      <c r="G141" s="15">
        <f>1919</f>
        <v>1919</v>
      </c>
      <c r="H141" s="15">
        <f>-2119</f>
        <v>-2119</v>
      </c>
      <c r="I141" s="6">
        <f>0</f>
        <v>0</v>
      </c>
      <c r="J141" s="6">
        <f>0</f>
        <v>0</v>
      </c>
      <c r="K141" s="6">
        <f>0</f>
        <v>0</v>
      </c>
      <c r="L141" s="6">
        <f>0</f>
        <v>0</v>
      </c>
      <c r="M141" s="6">
        <f>0</f>
        <v>0</v>
      </c>
    </row>
    <row r="142" spans="1:13" x14ac:dyDescent="0.3">
      <c r="A142" t="s">
        <v>136</v>
      </c>
      <c r="F142" s="15">
        <f>5000</f>
        <v>5000</v>
      </c>
      <c r="G142" s="15">
        <f>0</f>
        <v>0</v>
      </c>
      <c r="H142" s="15">
        <f>0</f>
        <v>0</v>
      </c>
      <c r="I142" s="6">
        <f>0</f>
        <v>0</v>
      </c>
      <c r="J142" s="6">
        <f>0</f>
        <v>0</v>
      </c>
      <c r="K142" s="6">
        <f>0</f>
        <v>0</v>
      </c>
      <c r="L142" s="6">
        <f>0</f>
        <v>0</v>
      </c>
      <c r="M142" s="6">
        <f>0</f>
        <v>0</v>
      </c>
    </row>
    <row r="143" spans="1:13" x14ac:dyDescent="0.3">
      <c r="A143" t="s">
        <v>74</v>
      </c>
      <c r="F143" s="15">
        <f>-5000</f>
        <v>-5000</v>
      </c>
      <c r="G143" s="15">
        <f>0</f>
        <v>0</v>
      </c>
      <c r="H143" s="15">
        <f>0</f>
        <v>0</v>
      </c>
      <c r="I143" s="6">
        <f>0</f>
        <v>0</v>
      </c>
      <c r="J143" s="6">
        <f>0</f>
        <v>0</v>
      </c>
      <c r="K143" s="6">
        <f>0</f>
        <v>0</v>
      </c>
      <c r="L143" s="6">
        <f>0</f>
        <v>0</v>
      </c>
      <c r="M143" s="6">
        <f>0</f>
        <v>0</v>
      </c>
    </row>
    <row r="144" spans="1:13" x14ac:dyDescent="0.3">
      <c r="A144" t="s">
        <v>135</v>
      </c>
      <c r="F144" s="15">
        <f>10898</f>
        <v>10898</v>
      </c>
      <c r="G144" s="15">
        <f>7913</f>
        <v>7913</v>
      </c>
      <c r="H144" s="15">
        <f>3969</f>
        <v>3969</v>
      </c>
      <c r="I144" s="6">
        <f>0</f>
        <v>0</v>
      </c>
      <c r="J144" s="6">
        <f>0</f>
        <v>0</v>
      </c>
      <c r="K144" s="6">
        <f>0</f>
        <v>0</v>
      </c>
      <c r="L144" s="6">
        <f>0</f>
        <v>0</v>
      </c>
      <c r="M144" s="6">
        <f>0</f>
        <v>0</v>
      </c>
    </row>
    <row r="145" spans="1:13" x14ac:dyDescent="0.3">
      <c r="A145" t="s">
        <v>78</v>
      </c>
      <c r="F145" s="15">
        <f>-3166</f>
        <v>-3166</v>
      </c>
      <c r="G145" s="15">
        <f>-4773</f>
        <v>-4773</v>
      </c>
      <c r="H145" s="15">
        <v>-3629</v>
      </c>
      <c r="I145" s="6">
        <f>I168</f>
        <v>-3287</v>
      </c>
      <c r="J145" s="6">
        <f t="shared" ref="J145:M145" si="102">J168</f>
        <v>-3287</v>
      </c>
      <c r="K145" s="6">
        <f t="shared" si="102"/>
        <v>-3287</v>
      </c>
      <c r="L145" s="6">
        <f t="shared" si="102"/>
        <v>-3287</v>
      </c>
      <c r="M145" s="6">
        <f t="shared" si="102"/>
        <v>-3287</v>
      </c>
    </row>
    <row r="146" spans="1:13" x14ac:dyDescent="0.3">
      <c r="A146" t="s">
        <v>75</v>
      </c>
      <c r="F146" s="15">
        <f>-2012</f>
        <v>-2012</v>
      </c>
      <c r="G146" s="15">
        <f>-3023</f>
        <v>-3023</v>
      </c>
      <c r="H146" s="15">
        <f>0</f>
        <v>0</v>
      </c>
      <c r="I146" s="6">
        <f>-I34</f>
        <v>-28</v>
      </c>
      <c r="J146" s="6">
        <f t="shared" ref="J146:M146" si="103">-J34</f>
        <v>-28</v>
      </c>
      <c r="K146" s="6">
        <f t="shared" si="103"/>
        <v>-28</v>
      </c>
      <c r="L146" s="6">
        <f t="shared" si="103"/>
        <v>-28</v>
      </c>
      <c r="M146" s="6">
        <f t="shared" si="103"/>
        <v>-28</v>
      </c>
    </row>
    <row r="147" spans="1:13" x14ac:dyDescent="0.3">
      <c r="A147" t="s">
        <v>76</v>
      </c>
      <c r="F147" s="15">
        <f>-3132</f>
        <v>-3132</v>
      </c>
      <c r="G147" s="15">
        <f>-3373</f>
        <v>-3373</v>
      </c>
      <c r="H147" s="15">
        <f>-3397</f>
        <v>-3397</v>
      </c>
      <c r="I147" s="6">
        <f>-(I35*4*I36)/1000000</f>
        <v>-3402.0611815399998</v>
      </c>
      <c r="J147" s="6">
        <f t="shared" ref="J147:M147" si="104">-(J35*4*J36)/1000000</f>
        <v>-335.09023667800005</v>
      </c>
      <c r="K147" s="6">
        <f t="shared" si="104"/>
        <v>-335.09023667800005</v>
      </c>
      <c r="L147" s="6">
        <f t="shared" si="104"/>
        <v>-335.09023667800005</v>
      </c>
      <c r="M147" s="6">
        <f t="shared" si="104"/>
        <v>-335.09023667800005</v>
      </c>
    </row>
    <row r="148" spans="1:13" x14ac:dyDescent="0.3">
      <c r="A148" t="s">
        <v>77</v>
      </c>
      <c r="F148" s="15">
        <f>277</f>
        <v>277</v>
      </c>
      <c r="G148" s="15">
        <f>361</f>
        <v>361</v>
      </c>
      <c r="H148" s="15">
        <f>394</f>
        <v>394</v>
      </c>
      <c r="I148" s="6">
        <f>AVERAGE(F148,G148,H148)</f>
        <v>344</v>
      </c>
      <c r="J148" s="6">
        <f t="shared" ref="J148:M148" si="105">AVERAGE(G148,H148,I148)</f>
        <v>366.33333333333331</v>
      </c>
      <c r="K148" s="6">
        <f t="shared" si="105"/>
        <v>368.11111111111109</v>
      </c>
      <c r="L148" s="6">
        <f t="shared" si="105"/>
        <v>359.48148148148147</v>
      </c>
      <c r="M148" s="6">
        <f t="shared" si="105"/>
        <v>364.64197530864197</v>
      </c>
    </row>
    <row r="149" spans="1:13" x14ac:dyDescent="0.3">
      <c r="A149" t="s">
        <v>149</v>
      </c>
      <c r="F149" s="15">
        <f>-181</f>
        <v>-181</v>
      </c>
      <c r="G149" s="15">
        <f>-185</f>
        <v>-185</v>
      </c>
      <c r="H149" s="15">
        <f>-158</f>
        <v>-158</v>
      </c>
      <c r="I149" s="6">
        <f>AVERAGE(F149,G149,H149)</f>
        <v>-174.66666666666666</v>
      </c>
      <c r="J149" s="6">
        <f t="shared" ref="J149:M149" si="106">AVERAGE(G149,H149,I149)</f>
        <v>-172.55555555555554</v>
      </c>
      <c r="K149" s="6">
        <f t="shared" si="106"/>
        <v>-168.40740740740739</v>
      </c>
      <c r="L149" s="6">
        <f t="shared" si="106"/>
        <v>-171.87654320987653</v>
      </c>
      <c r="M149" s="6">
        <f t="shared" si="106"/>
        <v>-170.94650205761317</v>
      </c>
    </row>
    <row r="150" spans="1:13" x14ac:dyDescent="0.3">
      <c r="A150" t="s">
        <v>73</v>
      </c>
      <c r="F150" s="15">
        <f>-201</f>
        <v>-201</v>
      </c>
      <c r="G150" s="15">
        <f>26</f>
        <v>26</v>
      </c>
      <c r="H150" s="15">
        <f>0</f>
        <v>0</v>
      </c>
      <c r="I150" s="6">
        <f>H150</f>
        <v>0</v>
      </c>
      <c r="J150" s="6">
        <f t="shared" ref="J150:M150" si="107">I150</f>
        <v>0</v>
      </c>
      <c r="K150" s="6">
        <f t="shared" si="107"/>
        <v>0</v>
      </c>
      <c r="L150" s="6">
        <f t="shared" si="107"/>
        <v>0</v>
      </c>
      <c r="M150" s="6">
        <f t="shared" si="107"/>
        <v>0</v>
      </c>
    </row>
    <row r="151" spans="1:13" s="4" customFormat="1" x14ac:dyDescent="0.3">
      <c r="A151" s="4" t="s">
        <v>188</v>
      </c>
      <c r="F151" s="7">
        <f>SUM(F141:F150)</f>
        <v>2683</v>
      </c>
      <c r="G151" s="7">
        <f>SUM(G141:G150)</f>
        <v>-1135</v>
      </c>
      <c r="H151" s="7">
        <f>SUM(H141:H150)</f>
        <v>-4940</v>
      </c>
      <c r="I151" s="7">
        <f t="shared" ref="I151" si="108">SUM(I141:I150)</f>
        <v>-6547.7278482066667</v>
      </c>
      <c r="J151" s="7">
        <f t="shared" ref="J151" si="109">SUM(J141:J150)</f>
        <v>-3456.3124589002223</v>
      </c>
      <c r="K151" s="7">
        <f t="shared" ref="K151" si="110">SUM(K141:K150)</f>
        <v>-3450.3865329742962</v>
      </c>
      <c r="L151" s="7">
        <f t="shared" ref="L151" si="111">SUM(L141:L150)</f>
        <v>-3462.4852984063955</v>
      </c>
      <c r="M151" s="7">
        <f t="shared" ref="M151" si="112">SUM(M141:M150)</f>
        <v>-3456.3947634269712</v>
      </c>
    </row>
    <row r="152" spans="1:13" x14ac:dyDescent="0.3">
      <c r="A152" t="s">
        <v>189</v>
      </c>
      <c r="F152" s="15">
        <f>F132+F139+F151</f>
        <v>-4780</v>
      </c>
      <c r="G152" s="15">
        <f t="shared" ref="G152:I152" si="113">G132+G139+G151</f>
        <v>359</v>
      </c>
      <c r="H152" s="15">
        <f t="shared" si="113"/>
        <v>-172</v>
      </c>
      <c r="I152" s="15">
        <f t="shared" si="113"/>
        <v>655.86294872276085</v>
      </c>
      <c r="J152" s="15">
        <f t="shared" ref="J152" si="114">J132+J139+J151</f>
        <v>2578.6541477724963</v>
      </c>
      <c r="K152" s="15">
        <f t="shared" ref="K152" si="115">K132+K139+K151</f>
        <v>2441.5296635317068</v>
      </c>
      <c r="L152" s="15">
        <f t="shared" ref="L152" si="116">L132+L139+L151</f>
        <v>2463.0901316902573</v>
      </c>
      <c r="M152" s="15">
        <f t="shared" ref="M152" si="117">M132+M139+M151</f>
        <v>2526.2684558171572</v>
      </c>
    </row>
    <row r="153" spans="1:13" x14ac:dyDescent="0.3">
      <c r="A153" t="s">
        <v>137</v>
      </c>
      <c r="F153" s="6">
        <f>13305</f>
        <v>13305</v>
      </c>
      <c r="G153" s="6">
        <f>F154</f>
        <v>8525</v>
      </c>
      <c r="H153" s="6">
        <f>G154</f>
        <v>8884</v>
      </c>
      <c r="I153" s="6">
        <f>H154</f>
        <v>8712</v>
      </c>
      <c r="J153" s="6">
        <f t="shared" ref="J153:M153" si="118">I154</f>
        <v>9367.8629487227608</v>
      </c>
      <c r="K153" s="6">
        <f t="shared" si="118"/>
        <v>11946.517096495258</v>
      </c>
      <c r="L153" s="6">
        <f t="shared" si="118"/>
        <v>14388.046760026964</v>
      </c>
      <c r="M153" s="6">
        <f t="shared" si="118"/>
        <v>16851.136891717222</v>
      </c>
    </row>
    <row r="154" spans="1:13" s="4" customFormat="1" x14ac:dyDescent="0.3">
      <c r="A154" s="4" t="s">
        <v>138</v>
      </c>
      <c r="F154" s="7">
        <f>F152+F153</f>
        <v>8525</v>
      </c>
      <c r="G154" s="7">
        <f>G152+G153</f>
        <v>8884</v>
      </c>
      <c r="H154" s="7">
        <f>H152+H153</f>
        <v>8712</v>
      </c>
      <c r="I154" s="7">
        <f t="shared" ref="I154" si="119">I152+I153</f>
        <v>9367.8629487227608</v>
      </c>
      <c r="J154" s="7">
        <f t="shared" ref="J154" si="120">J152+J153</f>
        <v>11946.517096495258</v>
      </c>
      <c r="K154" s="7">
        <f t="shared" ref="K154" si="121">K152+K153</f>
        <v>14388.046760026964</v>
      </c>
      <c r="L154" s="7">
        <f t="shared" ref="L154" si="122">L152+L153</f>
        <v>16851.136891717222</v>
      </c>
      <c r="M154" s="7">
        <f t="shared" ref="M154" si="123">M152+M153</f>
        <v>19377.405347534379</v>
      </c>
    </row>
    <row r="155" spans="1:13" x14ac:dyDescent="0.3">
      <c r="F155" s="6"/>
      <c r="G155" s="6"/>
      <c r="H155" s="6"/>
      <c r="I155" s="6"/>
      <c r="J155" s="6"/>
      <c r="K155" s="6"/>
      <c r="L155" s="6"/>
      <c r="M155" s="6"/>
    </row>
    <row r="156" spans="1:13" x14ac:dyDescent="0.3">
      <c r="F156" s="6"/>
      <c r="G156" s="6"/>
      <c r="H156" s="6"/>
      <c r="I156" s="6"/>
      <c r="J156" s="6"/>
      <c r="K156" s="6"/>
      <c r="L156" s="6"/>
      <c r="M156" s="6"/>
    </row>
    <row r="157" spans="1:13" x14ac:dyDescent="0.3">
      <c r="A157" t="s">
        <v>79</v>
      </c>
      <c r="F157" s="6">
        <f>F154</f>
        <v>8525</v>
      </c>
      <c r="G157" s="6">
        <f t="shared" ref="G157:H157" si="124">G154</f>
        <v>8884</v>
      </c>
      <c r="H157" s="6">
        <f t="shared" si="124"/>
        <v>8712</v>
      </c>
      <c r="I157" s="6">
        <f>I154</f>
        <v>9367.8629487227608</v>
      </c>
      <c r="J157" s="6">
        <f t="shared" ref="J157:M157" si="125">J154</f>
        <v>11946.517096495258</v>
      </c>
      <c r="K157" s="6">
        <f t="shared" si="125"/>
        <v>14388.046760026964</v>
      </c>
      <c r="L157" s="6">
        <f t="shared" si="125"/>
        <v>16851.136891717222</v>
      </c>
      <c r="M157" s="6">
        <f t="shared" si="125"/>
        <v>19377.405347534379</v>
      </c>
    </row>
    <row r="158" spans="1:13" x14ac:dyDescent="0.3">
      <c r="A158" t="s">
        <v>80</v>
      </c>
      <c r="F158" s="15">
        <f>90</f>
        <v>90</v>
      </c>
      <c r="G158" s="15">
        <f>95</f>
        <v>95</v>
      </c>
      <c r="H158" s="15">
        <f>59</f>
        <v>59</v>
      </c>
      <c r="I158" s="6">
        <f>H158</f>
        <v>59</v>
      </c>
      <c r="J158" s="6">
        <f t="shared" ref="J158:M158" si="126">I158</f>
        <v>59</v>
      </c>
      <c r="K158" s="6">
        <f t="shared" si="126"/>
        <v>59</v>
      </c>
      <c r="L158" s="6">
        <f t="shared" si="126"/>
        <v>59</v>
      </c>
      <c r="M158" s="6">
        <f t="shared" si="126"/>
        <v>59</v>
      </c>
    </row>
    <row r="159" spans="1:13" x14ac:dyDescent="0.3">
      <c r="A159" t="s">
        <v>81</v>
      </c>
      <c r="F159" s="15">
        <f>239</f>
        <v>239</v>
      </c>
      <c r="G159" s="15">
        <f>203</f>
        <v>203</v>
      </c>
      <c r="H159" s="15">
        <f>200</f>
        <v>200</v>
      </c>
      <c r="I159" s="6">
        <f>H159</f>
        <v>200</v>
      </c>
      <c r="J159" s="6">
        <f t="shared" ref="J159:M159" si="127">I159</f>
        <v>200</v>
      </c>
      <c r="K159" s="6">
        <f t="shared" si="127"/>
        <v>200</v>
      </c>
      <c r="L159" s="6">
        <f t="shared" si="127"/>
        <v>200</v>
      </c>
      <c r="M159" s="6">
        <f t="shared" si="127"/>
        <v>200</v>
      </c>
    </row>
    <row r="160" spans="1:13" s="4" customFormat="1" x14ac:dyDescent="0.3">
      <c r="A160" s="4" t="s">
        <v>68</v>
      </c>
      <c r="F160" s="7">
        <f>F157-F158-F159</f>
        <v>8196</v>
      </c>
      <c r="G160" s="7">
        <f t="shared" ref="G160:I160" si="128">G157-G158-G159</f>
        <v>8586</v>
      </c>
      <c r="H160" s="7">
        <f t="shared" si="128"/>
        <v>8453</v>
      </c>
      <c r="I160" s="7">
        <f t="shared" si="128"/>
        <v>9108.8629487227608</v>
      </c>
      <c r="J160" s="7">
        <f t="shared" ref="J160:M160" si="129">J157-J158-J159</f>
        <v>11687.517096495258</v>
      </c>
      <c r="K160" s="7">
        <f t="shared" si="129"/>
        <v>14129.046760026964</v>
      </c>
      <c r="L160" s="7">
        <f t="shared" si="129"/>
        <v>16592.136891717222</v>
      </c>
      <c r="M160" s="7">
        <f t="shared" si="129"/>
        <v>19118.405347534379</v>
      </c>
    </row>
    <row r="163" spans="1:13" s="24" customFormat="1" ht="20.399999999999999" customHeight="1" x14ac:dyDescent="0.3">
      <c r="A163" s="28" t="s">
        <v>82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</row>
    <row r="166" spans="1:13" s="1" customFormat="1" x14ac:dyDescent="0.3">
      <c r="A166" s="1" t="s">
        <v>83</v>
      </c>
    </row>
    <row r="167" spans="1:13" x14ac:dyDescent="0.3">
      <c r="A167" t="s">
        <v>83</v>
      </c>
      <c r="H167" s="6">
        <f>H94+H90</f>
        <v>64570</v>
      </c>
      <c r="I167" s="6">
        <f>H169</f>
        <v>61283</v>
      </c>
      <c r="J167" s="6">
        <f t="shared" ref="J167:K167" si="130">I169</f>
        <v>57996</v>
      </c>
      <c r="K167" s="6">
        <f t="shared" si="130"/>
        <v>54709</v>
      </c>
      <c r="L167" s="6">
        <f t="shared" ref="L167:M167" si="131">K169</f>
        <v>51422</v>
      </c>
      <c r="M167" s="6">
        <f t="shared" si="131"/>
        <v>48135</v>
      </c>
    </row>
    <row r="168" spans="1:13" x14ac:dyDescent="0.3">
      <c r="A168" t="s">
        <v>78</v>
      </c>
      <c r="H168" s="6">
        <f>-3287</f>
        <v>-3287</v>
      </c>
      <c r="I168" s="6">
        <f>-3287</f>
        <v>-3287</v>
      </c>
      <c r="J168" s="6">
        <f t="shared" ref="J168:M168" si="132">-3287</f>
        <v>-3287</v>
      </c>
      <c r="K168" s="6">
        <f t="shared" si="132"/>
        <v>-3287</v>
      </c>
      <c r="L168" s="6">
        <f t="shared" si="132"/>
        <v>-3287</v>
      </c>
      <c r="M168" s="6">
        <f t="shared" si="132"/>
        <v>-3287</v>
      </c>
    </row>
    <row r="169" spans="1:13" s="4" customFormat="1" x14ac:dyDescent="0.3">
      <c r="A169" s="4" t="s">
        <v>84</v>
      </c>
      <c r="H169" s="7">
        <f>SUM(H167:H168)</f>
        <v>61283</v>
      </c>
      <c r="I169" s="7">
        <f>SUM(I167:I168)</f>
        <v>57996</v>
      </c>
      <c r="J169" s="7">
        <f t="shared" ref="J169:K169" si="133">SUM(J167:J168)</f>
        <v>54709</v>
      </c>
      <c r="K169" s="7">
        <f t="shared" si="133"/>
        <v>51422</v>
      </c>
      <c r="L169" s="7">
        <f t="shared" ref="L169" si="134">SUM(L167:L168)</f>
        <v>48135</v>
      </c>
      <c r="M169" s="7">
        <f t="shared" ref="M169" si="135">SUM(M167:M168)</f>
        <v>44848</v>
      </c>
    </row>
    <row r="170" spans="1:13" x14ac:dyDescent="0.3">
      <c r="A170" t="s">
        <v>21</v>
      </c>
      <c r="H170" s="6"/>
      <c r="I170" s="6">
        <f>AVERAGE(I167,I169)*I15</f>
        <v>2922.3355000000001</v>
      </c>
      <c r="J170" s="6">
        <f>AVERAGE(J167,J169)*J15</f>
        <v>2761.2725</v>
      </c>
      <c r="K170" s="6">
        <f>AVERAGE(K167,K169)*K15</f>
        <v>2600.2094999999999</v>
      </c>
      <c r="L170" s="6">
        <f>AVERAGE(L167,L169)*L15</f>
        <v>2439.1465000000003</v>
      </c>
      <c r="M170" s="6">
        <f>AVERAGE(M167,M169)*M15</f>
        <v>2278.0835000000002</v>
      </c>
    </row>
    <row r="172" spans="1:13" x14ac:dyDescent="0.3">
      <c r="A172" s="1" t="s">
        <v>86</v>
      </c>
    </row>
    <row r="173" spans="1:13" x14ac:dyDescent="0.3">
      <c r="A173" t="s">
        <v>93</v>
      </c>
      <c r="I173" s="6">
        <f>I16</f>
        <v>2600</v>
      </c>
      <c r="J173" s="6">
        <f>J16</f>
        <v>2600</v>
      </c>
      <c r="K173" s="6">
        <f>K16</f>
        <v>2600</v>
      </c>
      <c r="L173" s="6">
        <f>L16</f>
        <v>2600</v>
      </c>
      <c r="M173" s="6">
        <f>M16</f>
        <v>2600</v>
      </c>
    </row>
    <row r="174" spans="1:13" x14ac:dyDescent="0.3">
      <c r="A174" t="s">
        <v>87</v>
      </c>
      <c r="I174" s="6">
        <f>1717</f>
        <v>1717</v>
      </c>
      <c r="J174" s="6">
        <f>1604</f>
        <v>1604</v>
      </c>
      <c r="K174" s="6">
        <f>1330</f>
        <v>1330</v>
      </c>
      <c r="L174" s="6">
        <f>1252</f>
        <v>1252</v>
      </c>
      <c r="M174" s="6">
        <f>1219</f>
        <v>1219</v>
      </c>
    </row>
    <row r="175" spans="1:13" s="4" customFormat="1" x14ac:dyDescent="0.3">
      <c r="A175" s="4" t="s">
        <v>88</v>
      </c>
      <c r="I175" s="7">
        <f>SUM(I173+I174)</f>
        <v>4317</v>
      </c>
      <c r="J175" s="7">
        <f t="shared" ref="J175:M175" si="136">SUM(J173+J174)</f>
        <v>4204</v>
      </c>
      <c r="K175" s="7">
        <f t="shared" si="136"/>
        <v>3930</v>
      </c>
      <c r="L175" s="7">
        <f t="shared" si="136"/>
        <v>3852</v>
      </c>
      <c r="M175" s="7">
        <f t="shared" si="136"/>
        <v>3819</v>
      </c>
    </row>
    <row r="177" spans="1:13" s="1" customFormat="1" x14ac:dyDescent="0.3">
      <c r="A177" s="1" t="s">
        <v>36</v>
      </c>
    </row>
    <row r="178" spans="1:13" x14ac:dyDescent="0.3">
      <c r="A178" t="s">
        <v>89</v>
      </c>
      <c r="I178" s="6">
        <f>25508</f>
        <v>25508</v>
      </c>
      <c r="J178" s="6">
        <f>I180</f>
        <v>23791</v>
      </c>
      <c r="K178" s="6">
        <f t="shared" ref="K178:M178" si="137">J180</f>
        <v>22187</v>
      </c>
      <c r="L178" s="6">
        <f t="shared" si="137"/>
        <v>20857</v>
      </c>
      <c r="M178" s="6">
        <f t="shared" si="137"/>
        <v>19605</v>
      </c>
    </row>
    <row r="179" spans="1:13" x14ac:dyDescent="0.3">
      <c r="A179" t="s">
        <v>87</v>
      </c>
      <c r="I179" s="6">
        <f>I174</f>
        <v>1717</v>
      </c>
      <c r="J179" s="6">
        <f>J174</f>
        <v>1604</v>
      </c>
      <c r="K179" s="6">
        <f t="shared" ref="K179:M179" si="138">K174</f>
        <v>1330</v>
      </c>
      <c r="L179" s="6">
        <f t="shared" si="138"/>
        <v>1252</v>
      </c>
      <c r="M179" s="6">
        <f t="shared" si="138"/>
        <v>1219</v>
      </c>
    </row>
    <row r="180" spans="1:13" s="4" customFormat="1" x14ac:dyDescent="0.3">
      <c r="A180" s="4" t="s">
        <v>90</v>
      </c>
      <c r="I180" s="7">
        <f>I178-I179</f>
        <v>23791</v>
      </c>
      <c r="J180" s="7">
        <f>J178-J179</f>
        <v>22187</v>
      </c>
      <c r="K180" s="7">
        <f t="shared" ref="K180:M180" si="139">K178-K179</f>
        <v>20857</v>
      </c>
      <c r="L180" s="7">
        <f t="shared" si="139"/>
        <v>19605</v>
      </c>
      <c r="M180" s="7">
        <f t="shared" si="139"/>
        <v>18386</v>
      </c>
    </row>
    <row r="182" spans="1:13" s="1" customFormat="1" x14ac:dyDescent="0.3">
      <c r="A182" s="1" t="s">
        <v>150</v>
      </c>
    </row>
    <row r="183" spans="1:13" x14ac:dyDescent="0.3">
      <c r="A183" t="s">
        <v>91</v>
      </c>
      <c r="I183" s="6">
        <f>H75</f>
        <v>13083</v>
      </c>
      <c r="J183" s="6">
        <f>I186</f>
        <v>13315</v>
      </c>
      <c r="K183" s="6">
        <f t="shared" ref="K183:M183" si="140">J186</f>
        <v>13547</v>
      </c>
      <c r="L183" s="6">
        <f t="shared" si="140"/>
        <v>13779</v>
      </c>
      <c r="M183" s="6">
        <f t="shared" si="140"/>
        <v>14011</v>
      </c>
    </row>
    <row r="184" spans="1:13" x14ac:dyDescent="0.3">
      <c r="A184" t="s">
        <v>92</v>
      </c>
      <c r="I184" s="6">
        <f>I17</f>
        <v>2832</v>
      </c>
      <c r="J184" s="6">
        <f>J17</f>
        <v>2832</v>
      </c>
      <c r="K184" s="6">
        <f>K17</f>
        <v>2832</v>
      </c>
      <c r="L184" s="6">
        <f>L17</f>
        <v>2832</v>
      </c>
      <c r="M184" s="6">
        <f>M17</f>
        <v>2832</v>
      </c>
    </row>
    <row r="185" spans="1:13" x14ac:dyDescent="0.3">
      <c r="A185" t="s">
        <v>93</v>
      </c>
      <c r="I185" s="6">
        <f>I16</f>
        <v>2600</v>
      </c>
      <c r="J185" s="6">
        <f>J16</f>
        <v>2600</v>
      </c>
      <c r="K185" s="6">
        <f>K16</f>
        <v>2600</v>
      </c>
      <c r="L185" s="6">
        <f>L16</f>
        <v>2600</v>
      </c>
      <c r="M185" s="6">
        <f>M16</f>
        <v>2600</v>
      </c>
    </row>
    <row r="186" spans="1:13" s="4" customFormat="1" x14ac:dyDescent="0.3">
      <c r="A186" s="4" t="s">
        <v>94</v>
      </c>
      <c r="I186" s="7">
        <f>I183+I184-I185</f>
        <v>13315</v>
      </c>
      <c r="J186" s="7">
        <f>J183+J184-J185</f>
        <v>13547</v>
      </c>
      <c r="K186" s="7">
        <f t="shared" ref="K186:M186" si="141">K183+K184-K185</f>
        <v>13779</v>
      </c>
      <c r="L186" s="7">
        <f t="shared" si="141"/>
        <v>14011</v>
      </c>
      <c r="M186" s="7">
        <f t="shared" si="141"/>
        <v>14243</v>
      </c>
    </row>
    <row r="188" spans="1:13" s="1" customFormat="1" x14ac:dyDescent="0.3">
      <c r="A188" s="1" t="s">
        <v>52</v>
      </c>
    </row>
    <row r="189" spans="1:13" x14ac:dyDescent="0.3">
      <c r="A189" t="s">
        <v>96</v>
      </c>
      <c r="I189" s="19">
        <f>H97</f>
        <v>4716</v>
      </c>
      <c r="J189" s="19">
        <f>I191</f>
        <v>4536.7919999999995</v>
      </c>
      <c r="K189" s="19">
        <f t="shared" ref="K189:M189" si="142">J191</f>
        <v>4364.3939039999996</v>
      </c>
      <c r="L189" s="19">
        <f t="shared" si="142"/>
        <v>4198.5469356479998</v>
      </c>
      <c r="M189" s="19">
        <f t="shared" si="142"/>
        <v>4039.0021520933756</v>
      </c>
    </row>
    <row r="190" spans="1:13" x14ac:dyDescent="0.3">
      <c r="A190" t="s">
        <v>151</v>
      </c>
      <c r="I190" s="11">
        <f>I18</f>
        <v>3.7999999999999999E-2</v>
      </c>
      <c r="J190" s="11">
        <f>J18</f>
        <v>3.7999999999999999E-2</v>
      </c>
      <c r="K190" s="11">
        <f>K18</f>
        <v>3.7999999999999999E-2</v>
      </c>
      <c r="L190" s="11">
        <f>L18</f>
        <v>3.7999999999999999E-2</v>
      </c>
      <c r="M190" s="11">
        <f>M18</f>
        <v>3.7999999999999999E-2</v>
      </c>
    </row>
    <row r="191" spans="1:13" s="4" customFormat="1" x14ac:dyDescent="0.3">
      <c r="A191" s="4" t="s">
        <v>97</v>
      </c>
      <c r="I191" s="7">
        <f>I189*(1-I190)</f>
        <v>4536.7919999999995</v>
      </c>
      <c r="J191" s="7">
        <f>J189*(1-J190)</f>
        <v>4364.3939039999996</v>
      </c>
      <c r="K191" s="7">
        <f t="shared" ref="K191:M191" si="143">K189*(1-K190)</f>
        <v>4198.5469356479998</v>
      </c>
      <c r="L191" s="7">
        <f t="shared" si="143"/>
        <v>4039.0021520933756</v>
      </c>
      <c r="M191" s="7">
        <f t="shared" si="143"/>
        <v>3885.5200703138271</v>
      </c>
    </row>
    <row r="192" spans="1:13" s="1" customFormat="1" x14ac:dyDescent="0.3">
      <c r="I192" s="12"/>
      <c r="J192" s="12"/>
      <c r="K192" s="12"/>
      <c r="L192" s="12"/>
      <c r="M192" s="12"/>
    </row>
    <row r="193" spans="1:14" s="1" customFormat="1" x14ac:dyDescent="0.3">
      <c r="A193" s="1" t="s">
        <v>106</v>
      </c>
      <c r="I193" s="12"/>
      <c r="J193" s="12"/>
      <c r="K193" s="12"/>
      <c r="L193" s="12"/>
      <c r="M193" s="12"/>
    </row>
    <row r="194" spans="1:14" s="1" customFormat="1" x14ac:dyDescent="0.3">
      <c r="A194" t="s">
        <v>107</v>
      </c>
      <c r="I194" s="6">
        <f>H88+H93</f>
        <v>15380</v>
      </c>
      <c r="J194" s="6">
        <f>I198</f>
        <v>14294.526666666667</v>
      </c>
      <c r="K194" s="6">
        <f t="shared" ref="K194:M194" si="144">J198</f>
        <v>13158.036086666665</v>
      </c>
      <c r="L194" s="6">
        <f t="shared" si="144"/>
        <v>11968.130449406664</v>
      </c>
      <c r="M194" s="6">
        <f t="shared" si="144"/>
        <v>10722.299247195444</v>
      </c>
    </row>
    <row r="195" spans="1:14" s="1" customFormat="1" x14ac:dyDescent="0.3">
      <c r="A195" t="s">
        <v>108</v>
      </c>
      <c r="I195" s="6">
        <f>I19</f>
        <v>923</v>
      </c>
      <c r="J195" s="6">
        <f>J19</f>
        <v>923</v>
      </c>
      <c r="K195" s="6">
        <f>K19</f>
        <v>923</v>
      </c>
      <c r="L195" s="6">
        <f>L19</f>
        <v>923</v>
      </c>
      <c r="M195" s="6">
        <f>M19</f>
        <v>923</v>
      </c>
    </row>
    <row r="196" spans="1:14" s="1" customFormat="1" x14ac:dyDescent="0.3">
      <c r="A196" t="s">
        <v>109</v>
      </c>
      <c r="I196" s="6">
        <f>I194*I22</f>
        <v>722.86</v>
      </c>
      <c r="J196" s="6">
        <f>J194*J22</f>
        <v>671.84275333333335</v>
      </c>
      <c r="K196" s="6">
        <f>K194*K22</f>
        <v>618.42769607333321</v>
      </c>
      <c r="L196" s="6">
        <f>L194*L22</f>
        <v>562.50213112211327</v>
      </c>
      <c r="M196" s="6">
        <f>M194*M22</f>
        <v>503.94806461818587</v>
      </c>
    </row>
    <row r="197" spans="1:14" s="1" customFormat="1" x14ac:dyDescent="0.3">
      <c r="A197" t="s">
        <v>110</v>
      </c>
      <c r="I197" s="6">
        <f>-I20</f>
        <v>-2731.3333333333335</v>
      </c>
      <c r="J197" s="6">
        <f>-J20</f>
        <v>-2731.3333333333335</v>
      </c>
      <c r="K197" s="6">
        <f>-K20</f>
        <v>-2731.3333333333335</v>
      </c>
      <c r="L197" s="6">
        <f>-L20</f>
        <v>-2731.3333333333335</v>
      </c>
      <c r="M197" s="6">
        <f>-M20</f>
        <v>-2731.3333333333335</v>
      </c>
    </row>
    <row r="198" spans="1:14" s="4" customFormat="1" x14ac:dyDescent="0.3">
      <c r="A198" s="4" t="s">
        <v>113</v>
      </c>
      <c r="I198" s="7">
        <f>SUM(I194:I197)</f>
        <v>14294.526666666667</v>
      </c>
      <c r="J198" s="7">
        <f>SUM(J194:J197)</f>
        <v>13158.036086666665</v>
      </c>
      <c r="K198" s="7">
        <f t="shared" ref="K198:M198" si="145">SUM(K194:K197)</f>
        <v>11968.130449406664</v>
      </c>
      <c r="L198" s="7">
        <f t="shared" si="145"/>
        <v>10722.299247195444</v>
      </c>
      <c r="M198" s="7">
        <f t="shared" si="145"/>
        <v>9417.9139784802956</v>
      </c>
    </row>
    <row r="199" spans="1:14" s="1" customFormat="1" x14ac:dyDescent="0.3">
      <c r="A199" t="s">
        <v>111</v>
      </c>
      <c r="I199" s="11">
        <f>$H$88/($H$88+$H$93)</f>
        <v>0.11293888166449935</v>
      </c>
      <c r="J199" s="11">
        <f>$H$88/($H$88+$H$93)</f>
        <v>0.11293888166449935</v>
      </c>
      <c r="K199" s="11">
        <f t="shared" ref="K199:M199" si="146">$H$88/($H$88+$H$93)</f>
        <v>0.11293888166449935</v>
      </c>
      <c r="L199" s="11">
        <f t="shared" si="146"/>
        <v>0.11293888166449935</v>
      </c>
      <c r="M199" s="11">
        <f t="shared" si="146"/>
        <v>0.11293888166449935</v>
      </c>
    </row>
    <row r="200" spans="1:14" s="1" customFormat="1" x14ac:dyDescent="0.3">
      <c r="A200" t="s">
        <v>112</v>
      </c>
      <c r="I200" s="6">
        <f>I198*I199</f>
        <v>1614.4078556566969</v>
      </c>
      <c r="J200" s="6">
        <f>J198*J199</f>
        <v>1486.0538805292585</v>
      </c>
      <c r="K200" s="6">
        <f t="shared" ref="K200:M200" si="147">K198*K199</f>
        <v>1351.6672685708306</v>
      </c>
      <c r="L200" s="6">
        <f t="shared" si="147"/>
        <v>1210.9644858503566</v>
      </c>
      <c r="M200" s="6">
        <f t="shared" si="147"/>
        <v>1063.6486723420203</v>
      </c>
    </row>
    <row r="201" spans="1:14" s="4" customFormat="1" x14ac:dyDescent="0.3">
      <c r="A201" s="4" t="s">
        <v>106</v>
      </c>
      <c r="I201" s="7">
        <f>I198-I200</f>
        <v>12680.11881100997</v>
      </c>
      <c r="J201" s="7">
        <f>J198-J200</f>
        <v>11671.982206137407</v>
      </c>
      <c r="K201" s="7">
        <f t="shared" ref="K201:M201" si="148">K198-K200</f>
        <v>10616.463180835834</v>
      </c>
      <c r="L201" s="7">
        <f t="shared" si="148"/>
        <v>9511.3347613450878</v>
      </c>
      <c r="M201" s="7">
        <f t="shared" si="148"/>
        <v>8354.2653061382753</v>
      </c>
    </row>
    <row r="202" spans="1:14" x14ac:dyDescent="0.3">
      <c r="I202" s="12"/>
    </row>
    <row r="203" spans="1:14" s="1" customFormat="1" x14ac:dyDescent="0.3">
      <c r="A203" s="1" t="s">
        <v>103</v>
      </c>
      <c r="I203"/>
    </row>
    <row r="204" spans="1:14" x14ac:dyDescent="0.3">
      <c r="A204" t="s">
        <v>102</v>
      </c>
      <c r="I204" s="6">
        <f>H76</f>
        <v>14973</v>
      </c>
      <c r="J204" s="6">
        <f>I207</f>
        <v>14166.193333333333</v>
      </c>
      <c r="K204" s="6">
        <f t="shared" ref="K204:M204" si="149">J207</f>
        <v>13308.369419999999</v>
      </c>
      <c r="L204" s="6">
        <f t="shared" si="149"/>
        <v>12397.130449406666</v>
      </c>
      <c r="M204" s="6">
        <f t="shared" si="149"/>
        <v>11429.965913862114</v>
      </c>
      <c r="N204" s="8"/>
    </row>
    <row r="205" spans="1:14" x14ac:dyDescent="0.3">
      <c r="A205" t="s">
        <v>139</v>
      </c>
      <c r="I205" s="6">
        <f>I19</f>
        <v>923</v>
      </c>
      <c r="J205" s="6">
        <f>J19</f>
        <v>923</v>
      </c>
      <c r="K205" s="6">
        <f>K19</f>
        <v>923</v>
      </c>
      <c r="L205" s="6">
        <f>L19</f>
        <v>923</v>
      </c>
      <c r="M205" s="6">
        <f>M19</f>
        <v>923</v>
      </c>
    </row>
    <row r="206" spans="1:14" x14ac:dyDescent="0.3">
      <c r="A206" t="s">
        <v>104</v>
      </c>
      <c r="I206" s="6">
        <f>$I$21-I196</f>
        <v>1729.8066666666664</v>
      </c>
      <c r="J206" s="6">
        <f>$I$21-J196</f>
        <v>1780.8239133333332</v>
      </c>
      <c r="K206" s="6">
        <f t="shared" ref="K206:M206" si="150">$I$21-K196</f>
        <v>1834.2389705933333</v>
      </c>
      <c r="L206" s="6">
        <f t="shared" si="150"/>
        <v>1890.1645355445532</v>
      </c>
      <c r="M206" s="6">
        <f t="shared" si="150"/>
        <v>1948.7186020484805</v>
      </c>
      <c r="N206" s="8"/>
    </row>
    <row r="207" spans="1:14" s="4" customFormat="1" x14ac:dyDescent="0.3">
      <c r="A207" s="4" t="s">
        <v>105</v>
      </c>
      <c r="I207" s="7">
        <f>I204+I205-I206</f>
        <v>14166.193333333333</v>
      </c>
      <c r="J207" s="7">
        <f>J204+J205-J206</f>
        <v>13308.369419999999</v>
      </c>
      <c r="K207" s="7">
        <f t="shared" ref="K207:M207" si="151">K204+K205-K206</f>
        <v>12397.130449406666</v>
      </c>
      <c r="L207" s="7">
        <f t="shared" si="151"/>
        <v>11429.965913862114</v>
      </c>
      <c r="M207" s="7">
        <f t="shared" si="151"/>
        <v>10404.247311813633</v>
      </c>
      <c r="N207" s="13"/>
    </row>
    <row r="208" spans="1:14" x14ac:dyDescent="0.3">
      <c r="I208" s="1"/>
    </row>
    <row r="219" spans="5:5" x14ac:dyDescent="0.3">
      <c r="E219" t="s">
        <v>123</v>
      </c>
    </row>
  </sheetData>
  <mergeCells count="4">
    <mergeCell ref="F1:H1"/>
    <mergeCell ref="I1:M1"/>
    <mergeCell ref="A1:C2"/>
    <mergeCell ref="A3:C3"/>
  </mergeCells>
  <pageMargins left="0.7" right="0.7" top="0.75" bottom="0.75" header="0.3" footer="0.3"/>
  <ignoredErrors>
    <ignoredError sqref="I10:M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Belo Orozco</dc:creator>
  <cp:lastModifiedBy>Belo Orozco</cp:lastModifiedBy>
  <dcterms:created xsi:type="dcterms:W3CDTF">2026-10-20T22:17:18Z</dcterms:created>
  <dcterms:modified xsi:type="dcterms:W3CDTF">2026-10-22T10:30:38Z</dcterms:modified>
</cp:coreProperties>
</file>