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2f12f94b562df0/Documents/"/>
    </mc:Choice>
  </mc:AlternateContent>
  <xr:revisionPtr revIDLastSave="11" documentId="14_{7165D554-7171-40E1-A369-3134BFA2C12C}" xr6:coauthVersionLast="47" xr6:coauthVersionMax="47" xr10:uidLastSave="{CE8FDBF1-AABE-415A-919D-C080EF05DE35}"/>
  <bookViews>
    <workbookView xWindow="-108" yWindow="-108" windowWidth="23256" windowHeight="12456" xr2:uid="{19D131BB-6559-4369-9BEC-B415B74F1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0" i="1" l="1"/>
  <c r="K30" i="1"/>
  <c r="L30" i="1"/>
  <c r="M30" i="1"/>
  <c r="I26" i="1"/>
  <c r="M29" i="1"/>
  <c r="L29" i="1"/>
  <c r="K29" i="1"/>
  <c r="J29" i="1"/>
  <c r="I29" i="1"/>
  <c r="H32" i="1"/>
  <c r="E23" i="1"/>
  <c r="J28" i="1"/>
  <c r="K28" i="1"/>
  <c r="L28" i="1"/>
  <c r="M28" i="1"/>
  <c r="I28" i="1"/>
  <c r="M27" i="1"/>
  <c r="L27" i="1"/>
  <c r="K27" i="1"/>
  <c r="J27" i="1"/>
  <c r="I27" i="1"/>
  <c r="M25" i="1"/>
  <c r="L25" i="1"/>
  <c r="K25" i="1"/>
  <c r="J25" i="1"/>
  <c r="I25" i="1"/>
  <c r="M24" i="1"/>
  <c r="N24" i="1" s="1"/>
  <c r="L24" i="1"/>
  <c r="K24" i="1"/>
  <c r="J24" i="1"/>
  <c r="I24" i="1"/>
  <c r="H24" i="1"/>
  <c r="E19" i="1"/>
  <c r="E17" i="1"/>
  <c r="E15" i="1"/>
  <c r="E18" i="1" s="1"/>
  <c r="E14" i="1"/>
  <c r="E13" i="1"/>
  <c r="E12" i="1"/>
  <c r="E11" i="1"/>
  <c r="L41" i="1" s="1"/>
  <c r="R36" i="1" s="1"/>
  <c r="E10" i="1"/>
  <c r="E9" i="1"/>
  <c r="L26" i="1" l="1"/>
  <c r="L32" i="1" s="1"/>
  <c r="J26" i="1"/>
  <c r="J32" i="1" s="1"/>
  <c r="I30" i="1"/>
  <c r="I32" i="1" s="1"/>
  <c r="E21" i="1"/>
  <c r="L36" i="1" s="1"/>
  <c r="M26" i="1"/>
  <c r="M32" i="1" s="1"/>
  <c r="K26" i="1"/>
  <c r="K32" i="1" s="1"/>
  <c r="L38" i="1"/>
  <c r="F37" i="1"/>
  <c r="E20" i="1"/>
  <c r="L37" i="1"/>
  <c r="F38" i="1"/>
  <c r="E22" i="1" l="1"/>
  <c r="T25" i="1" s="1"/>
  <c r="N32" i="1" s="1"/>
  <c r="F36" i="1" s="1"/>
  <c r="F39" i="1" s="1"/>
  <c r="F41" i="1" s="1"/>
  <c r="R37" i="1" s="1"/>
  <c r="L39" i="1"/>
  <c r="R38" i="1" l="1"/>
</calcChain>
</file>

<file path=xl/sharedStrings.xml><?xml version="1.0" encoding="utf-8"?>
<sst xmlns="http://schemas.openxmlformats.org/spreadsheetml/2006/main" count="46" uniqueCount="38">
  <si>
    <t>Assumptions</t>
  </si>
  <si>
    <t>Tax Rate</t>
  </si>
  <si>
    <t>Current Price</t>
  </si>
  <si>
    <t>2025 Debt</t>
  </si>
  <si>
    <t>2024 Debt</t>
  </si>
  <si>
    <t>Cost of Equity</t>
  </si>
  <si>
    <t>Risk-free rate</t>
  </si>
  <si>
    <t>Beta</t>
  </si>
  <si>
    <t>Equity Risk Premium</t>
  </si>
  <si>
    <t>WACC</t>
  </si>
  <si>
    <t>Cost of Debt</t>
  </si>
  <si>
    <t>Market Cap</t>
  </si>
  <si>
    <t>Terminal Value</t>
  </si>
  <si>
    <t>EBIT</t>
  </si>
  <si>
    <t>D&amp;A</t>
  </si>
  <si>
    <t>Capex</t>
  </si>
  <si>
    <t>Total</t>
  </si>
  <si>
    <t>Unlevered FCFF</t>
  </si>
  <si>
    <t>Enterprise Value</t>
  </si>
  <si>
    <t>Cash</t>
  </si>
  <si>
    <t>Debt</t>
  </si>
  <si>
    <t>Equity Value</t>
  </si>
  <si>
    <t>Market Value</t>
  </si>
  <si>
    <t>Equity Price</t>
  </si>
  <si>
    <t>Market Value vs Intrinsic Value</t>
  </si>
  <si>
    <t xml:space="preserve">Market Value </t>
  </si>
  <si>
    <t>Upside</t>
  </si>
  <si>
    <t>Intrinsic Value</t>
  </si>
  <si>
    <t xml:space="preserve"> </t>
  </si>
  <si>
    <t>CVS Pharmacy</t>
  </si>
  <si>
    <t>DCF Statement</t>
  </si>
  <si>
    <t>Perpetual Growth Rate</t>
  </si>
  <si>
    <t>Perpetual Growth</t>
  </si>
  <si>
    <t>NWC cash release</t>
  </si>
  <si>
    <t>NOPAT</t>
  </si>
  <si>
    <t>Base-Case Conclusion</t>
  </si>
  <si>
    <t>Average  2024-2025 Debt</t>
  </si>
  <si>
    <t>Number of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</si>
</sst>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3" borderId="0" xfId="0" applyFill="1" applyAlignment="1">
      <alignment horizontal="center" vertical="center"/>
    </xf>
    <xf numFmtId="0" fontId="0" fillId="3" borderId="0" xfId="0" applyFill="1"/>
    <xf numFmtId="9" fontId="0" fillId="0" borderId="0" xfId="1" applyFont="1"/>
    <xf numFmtId="5" fontId="0" fillId="0" borderId="0" xfId="0" applyNumberFormat="1"/>
    <xf numFmtId="5" fontId="1" fillId="0" borderId="1" xfId="0" applyNumberFormat="1" applyFont="1" applyBorder="1"/>
    <xf numFmtId="5" fontId="0" fillId="0" borderId="1" xfId="0" applyNumberFormat="1" applyBorder="1"/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43</xdr:row>
      <xdr:rowOff>152400</xdr:rowOff>
    </xdr:from>
    <xdr:to>
      <xdr:col>12</xdr:col>
      <xdr:colOff>647700</xdr:colOff>
      <xdr:row>50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905779-E369-5C7A-438A-48634682D77B}"/>
            </a:ext>
          </a:extLst>
        </xdr:cNvPr>
        <xdr:cNvSpPr txBox="1"/>
      </xdr:nvSpPr>
      <xdr:spPr>
        <a:xfrm>
          <a:off x="4564380" y="8016240"/>
          <a:ext cx="4191000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Based on the forecast cash</a:t>
          </a:r>
          <a:r>
            <a:rPr lang="en-US" sz="1100" baseline="0"/>
            <a:t> flows and the assumptions in this model, CVS's estimated intrinsic value is approximately $171.89 per share, compared with the 2025 year-end share price of $79.36. This represents potential upside of approximately 117% under the base-case assumptions. The estimate is most sensitive to projected cash flows, the WACC, and the 2.5% perpetual growth rate. It is a valuation estimate, not a prediction or guarantee of future stock performance.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02DB-34EA-40D1-ADCE-2E0CA5FB683D}">
  <dimension ref="A1:T43"/>
  <sheetViews>
    <sheetView showGridLines="0" tabSelected="1" workbookViewId="0">
      <selection activeCell="F10" sqref="F10"/>
    </sheetView>
  </sheetViews>
  <sheetFormatPr defaultRowHeight="14.4" x14ac:dyDescent="0.3"/>
  <cols>
    <col min="5" max="5" width="12.5546875" bestFit="1" customWidth="1"/>
    <col min="6" max="6" width="9.5546875" bestFit="1" customWidth="1"/>
    <col min="8" max="14" width="10.33203125" bestFit="1" customWidth="1"/>
    <col min="20" max="20" width="11.109375" bestFit="1" customWidth="1"/>
  </cols>
  <sheetData>
    <row r="1" spans="1:20" x14ac:dyDescent="0.3">
      <c r="A1" s="16" t="s">
        <v>29</v>
      </c>
      <c r="B1" s="16"/>
      <c r="C1" s="1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3">
      <c r="A2" s="16"/>
      <c r="B2" s="16"/>
      <c r="C2" s="16"/>
      <c r="D2" s="9"/>
      <c r="E2" s="10"/>
      <c r="F2" s="10"/>
      <c r="G2" s="10"/>
      <c r="H2" s="10"/>
      <c r="I2" s="17" t="s">
        <v>30</v>
      </c>
      <c r="J2" s="17"/>
      <c r="K2" s="17"/>
      <c r="L2" s="10"/>
      <c r="M2" s="10"/>
      <c r="N2" s="10"/>
      <c r="O2" s="10"/>
      <c r="P2" s="10"/>
      <c r="Q2" s="10"/>
      <c r="R2" s="10"/>
      <c r="S2" s="10"/>
      <c r="T2" s="10"/>
    </row>
    <row r="3" spans="1:20" x14ac:dyDescent="0.3">
      <c r="A3" s="16"/>
      <c r="B3" s="16"/>
      <c r="C3" s="16"/>
      <c r="D3" s="9"/>
      <c r="E3" s="10"/>
      <c r="F3" s="10"/>
      <c r="G3" s="10"/>
      <c r="H3" s="10"/>
      <c r="I3" s="17"/>
      <c r="J3" s="17"/>
      <c r="K3" s="17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3">
      <c r="A4" s="16"/>
      <c r="B4" s="16"/>
      <c r="C4" s="16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8" spans="1:20" x14ac:dyDescent="0.3">
      <c r="A8" t="s">
        <v>0</v>
      </c>
    </row>
    <row r="9" spans="1:20" x14ac:dyDescent="0.3">
      <c r="A9" t="s">
        <v>1</v>
      </c>
      <c r="E9" s="1">
        <f>25%</f>
        <v>0.25</v>
      </c>
    </row>
    <row r="10" spans="1:20" x14ac:dyDescent="0.3">
      <c r="A10" t="s">
        <v>31</v>
      </c>
      <c r="E10" s="2">
        <f>2.5%</f>
        <v>2.5000000000000001E-2</v>
      </c>
    </row>
    <row r="11" spans="1:20" x14ac:dyDescent="0.3">
      <c r="A11" t="s">
        <v>2</v>
      </c>
      <c r="E11">
        <f>79.36</f>
        <v>79.36</v>
      </c>
    </row>
    <row r="12" spans="1:20" x14ac:dyDescent="0.3">
      <c r="A12" t="s">
        <v>3</v>
      </c>
      <c r="E12">
        <f>64570</f>
        <v>64570</v>
      </c>
    </row>
    <row r="13" spans="1:20" x14ac:dyDescent="0.3">
      <c r="A13" t="s">
        <v>4</v>
      </c>
      <c r="E13">
        <f>64151</f>
        <v>64151</v>
      </c>
    </row>
    <row r="14" spans="1:20" x14ac:dyDescent="0.3">
      <c r="A14" t="s">
        <v>37</v>
      </c>
      <c r="E14">
        <f>1278970369</f>
        <v>1278970369</v>
      </c>
    </row>
    <row r="15" spans="1:20" x14ac:dyDescent="0.3">
      <c r="A15" t="s">
        <v>6</v>
      </c>
      <c r="E15" s="2">
        <f>5%</f>
        <v>0.05</v>
      </c>
    </row>
    <row r="16" spans="1:20" x14ac:dyDescent="0.3">
      <c r="A16" t="s">
        <v>7</v>
      </c>
      <c r="E16">
        <v>0.6</v>
      </c>
    </row>
    <row r="17" spans="1:20" x14ac:dyDescent="0.3">
      <c r="A17" t="s">
        <v>8</v>
      </c>
      <c r="E17" s="2">
        <f>4.14%</f>
        <v>4.1399999999999999E-2</v>
      </c>
    </row>
    <row r="18" spans="1:20" x14ac:dyDescent="0.3">
      <c r="A18" t="s">
        <v>5</v>
      </c>
      <c r="E18" s="2">
        <f>E15+E16*E17</f>
        <v>7.4840000000000004E-2</v>
      </c>
    </row>
    <row r="19" spans="1:20" x14ac:dyDescent="0.3">
      <c r="A19" t="s">
        <v>10</v>
      </c>
      <c r="E19" s="2">
        <f>4.9%</f>
        <v>4.9000000000000002E-2</v>
      </c>
    </row>
    <row r="20" spans="1:20" x14ac:dyDescent="0.3">
      <c r="A20" t="s">
        <v>36</v>
      </c>
      <c r="E20" s="4">
        <f>(E12+E13)/2</f>
        <v>64360.5</v>
      </c>
      <c r="K20" t="s">
        <v>28</v>
      </c>
    </row>
    <row r="21" spans="1:20" x14ac:dyDescent="0.3">
      <c r="A21" t="s">
        <v>11</v>
      </c>
      <c r="E21" s="4">
        <f>(E14*E11)/1000000</f>
        <v>101499.08848383999</v>
      </c>
    </row>
    <row r="22" spans="1:20" x14ac:dyDescent="0.3">
      <c r="A22" t="s">
        <v>9</v>
      </c>
      <c r="E22" s="2">
        <f>(E21/(E20+E21))*E18+(E20/(E20+E21))*E19*(1-E9)</f>
        <v>6.0059477104642323E-2</v>
      </c>
    </row>
    <row r="23" spans="1:20" x14ac:dyDescent="0.3">
      <c r="A23" t="s">
        <v>19</v>
      </c>
      <c r="E23">
        <f>8453</f>
        <v>8453</v>
      </c>
      <c r="H23" s="8">
        <v>2025</v>
      </c>
      <c r="I23" s="8">
        <v>2026</v>
      </c>
      <c r="J23" s="8">
        <v>2027</v>
      </c>
      <c r="K23" s="8">
        <v>2028</v>
      </c>
      <c r="L23" s="8">
        <v>2029</v>
      </c>
      <c r="M23" s="8">
        <v>2030</v>
      </c>
      <c r="N23" s="8" t="s">
        <v>12</v>
      </c>
    </row>
    <row r="24" spans="1:20" x14ac:dyDescent="0.3">
      <c r="H24" s="5">
        <f>DATE(2025,12,31)</f>
        <v>46022</v>
      </c>
      <c r="I24" s="5">
        <f>DATE(2026,12,31)</f>
        <v>46387</v>
      </c>
      <c r="J24" s="5">
        <f>DATE(2027,12,31)</f>
        <v>46752</v>
      </c>
      <c r="K24" s="5">
        <f>DATE(2028,12,31)</f>
        <v>47118</v>
      </c>
      <c r="L24" s="5">
        <f>DATE(2029,12,31)</f>
        <v>47483</v>
      </c>
      <c r="M24" s="5">
        <f>DATE(2030,12,31)</f>
        <v>47848</v>
      </c>
      <c r="N24" s="5">
        <f>M24</f>
        <v>47848</v>
      </c>
      <c r="Q24" s="7" t="s">
        <v>12</v>
      </c>
      <c r="R24" s="7"/>
      <c r="S24" s="7"/>
      <c r="T24" s="7"/>
    </row>
    <row r="25" spans="1:20" x14ac:dyDescent="0.3">
      <c r="F25" t="s">
        <v>13</v>
      </c>
      <c r="I25" s="12">
        <f>12378</f>
        <v>12378</v>
      </c>
      <c r="J25" s="12">
        <f>12394</f>
        <v>12394</v>
      </c>
      <c r="K25" s="12">
        <f>12386</f>
        <v>12386</v>
      </c>
      <c r="L25" s="12">
        <f>12351</f>
        <v>12351</v>
      </c>
      <c r="M25" s="12">
        <f>12285</f>
        <v>12285</v>
      </c>
      <c r="Q25" t="s">
        <v>32</v>
      </c>
      <c r="T25" s="15">
        <f>M32*(1+$E$10)/($E$22-$E$10)</f>
        <v>307380.33307898481</v>
      </c>
    </row>
    <row r="26" spans="1:20" x14ac:dyDescent="0.3">
      <c r="F26" t="s">
        <v>34</v>
      </c>
      <c r="I26" s="12">
        <f>I25*(1-$E$9)</f>
        <v>9283.5</v>
      </c>
      <c r="J26" s="12">
        <f t="shared" ref="J26:M26" si="0">J25*(1-$E$9)</f>
        <v>9295.5</v>
      </c>
      <c r="K26" s="12">
        <f t="shared" si="0"/>
        <v>9289.5</v>
      </c>
      <c r="L26" s="12">
        <f t="shared" si="0"/>
        <v>9263.25</v>
      </c>
      <c r="M26" s="12">
        <f t="shared" si="0"/>
        <v>9213.75</v>
      </c>
    </row>
    <row r="27" spans="1:20" x14ac:dyDescent="0.3">
      <c r="F27" t="s">
        <v>14</v>
      </c>
      <c r="I27" s="12">
        <f>4317</f>
        <v>4317</v>
      </c>
      <c r="J27" s="12">
        <f>4204</f>
        <v>4204</v>
      </c>
      <c r="K27" s="12">
        <f>3930</f>
        <v>3930</v>
      </c>
      <c r="L27" s="12">
        <f>3852</f>
        <v>3852</v>
      </c>
      <c r="M27" s="12">
        <f>3819</f>
        <v>3819</v>
      </c>
    </row>
    <row r="28" spans="1:20" x14ac:dyDescent="0.3">
      <c r="F28" t="s">
        <v>15</v>
      </c>
      <c r="I28" s="12">
        <f>2832</f>
        <v>2832</v>
      </c>
      <c r="J28" s="12">
        <f>2832</f>
        <v>2832</v>
      </c>
      <c r="K28" s="12">
        <f>2832</f>
        <v>2832</v>
      </c>
      <c r="L28" s="12">
        <f>2832</f>
        <v>2832</v>
      </c>
      <c r="M28" s="12">
        <f>2832</f>
        <v>2832</v>
      </c>
    </row>
    <row r="29" spans="1:20" x14ac:dyDescent="0.3">
      <c r="F29" t="s">
        <v>33</v>
      </c>
      <c r="I29" s="12">
        <f>1425</f>
        <v>1425</v>
      </c>
      <c r="J29" s="12">
        <f>241</f>
        <v>241</v>
      </c>
      <c r="K29" s="12">
        <f>265</f>
        <v>265</v>
      </c>
      <c r="L29" s="12">
        <f>287</f>
        <v>287</v>
      </c>
      <c r="M29" s="12">
        <f>313</f>
        <v>313</v>
      </c>
    </row>
    <row r="30" spans="1:20" x14ac:dyDescent="0.3">
      <c r="F30" s="6" t="s">
        <v>16</v>
      </c>
      <c r="G30" s="6"/>
      <c r="H30" s="6"/>
      <c r="I30" s="13">
        <f>I26+I27-I28+I29</f>
        <v>12193.5</v>
      </c>
      <c r="J30" s="13">
        <f t="shared" ref="J30:M30" si="1">J26+J27-J28+J29</f>
        <v>10908.5</v>
      </c>
      <c r="K30" s="13">
        <f t="shared" si="1"/>
        <v>10652.5</v>
      </c>
      <c r="L30" s="13">
        <f t="shared" si="1"/>
        <v>10570.25</v>
      </c>
      <c r="M30" s="13">
        <f t="shared" si="1"/>
        <v>10513.75</v>
      </c>
      <c r="N30" s="6"/>
    </row>
    <row r="32" spans="1:20" x14ac:dyDescent="0.3">
      <c r="F32" t="s">
        <v>17</v>
      </c>
      <c r="H32">
        <f>0</f>
        <v>0</v>
      </c>
      <c r="I32" s="12">
        <f>I30</f>
        <v>12193.5</v>
      </c>
      <c r="J32" s="12">
        <f t="shared" ref="J32:M32" si="2">J30</f>
        <v>10908.5</v>
      </c>
      <c r="K32" s="12">
        <f t="shared" si="2"/>
        <v>10652.5</v>
      </c>
      <c r="L32" s="12">
        <f t="shared" si="2"/>
        <v>10570.25</v>
      </c>
      <c r="M32" s="12">
        <f t="shared" si="2"/>
        <v>10513.75</v>
      </c>
      <c r="N32" s="12">
        <f>T25</f>
        <v>307380.33307898481</v>
      </c>
    </row>
    <row r="35" spans="4:18" x14ac:dyDescent="0.3">
      <c r="D35" s="7" t="s">
        <v>27</v>
      </c>
      <c r="E35" s="7"/>
      <c r="F35" s="7"/>
      <c r="J35" s="7" t="s">
        <v>22</v>
      </c>
      <c r="K35" s="7"/>
      <c r="L35" s="7"/>
      <c r="P35" s="7" t="s">
        <v>24</v>
      </c>
      <c r="Q35" s="7"/>
      <c r="R35" s="7"/>
    </row>
    <row r="36" spans="4:18" x14ac:dyDescent="0.3">
      <c r="D36" t="s">
        <v>18</v>
      </c>
      <c r="F36" s="12">
        <f>XNPV(E22,H32:N32,H24:N24)</f>
        <v>275964.98766018287</v>
      </c>
      <c r="J36" t="s">
        <v>11</v>
      </c>
      <c r="L36" s="12">
        <f>E21</f>
        <v>101499.08848383999</v>
      </c>
      <c r="P36" t="s">
        <v>25</v>
      </c>
      <c r="R36">
        <f>L41</f>
        <v>79.36</v>
      </c>
    </row>
    <row r="37" spans="4:18" x14ac:dyDescent="0.3">
      <c r="D37" t="s">
        <v>19</v>
      </c>
      <c r="F37" s="12">
        <f>E23</f>
        <v>8453</v>
      </c>
      <c r="J37" t="s">
        <v>20</v>
      </c>
      <c r="L37" s="12">
        <f>E12</f>
        <v>64570</v>
      </c>
      <c r="P37" t="s">
        <v>26</v>
      </c>
      <c r="R37" s="11">
        <f>F41/L41-1</f>
        <v>1.1660094779588643</v>
      </c>
    </row>
    <row r="38" spans="4:18" x14ac:dyDescent="0.3">
      <c r="D38" t="s">
        <v>20</v>
      </c>
      <c r="F38" s="12">
        <f>E12</f>
        <v>64570</v>
      </c>
      <c r="J38" t="s">
        <v>19</v>
      </c>
      <c r="L38" s="12">
        <f>E23</f>
        <v>8453</v>
      </c>
      <c r="P38" t="s">
        <v>27</v>
      </c>
      <c r="R38" s="3">
        <f>F41</f>
        <v>171.89451217081549</v>
      </c>
    </row>
    <row r="39" spans="4:18" x14ac:dyDescent="0.3">
      <c r="D39" t="s">
        <v>21</v>
      </c>
      <c r="F39" s="14">
        <f>F36+F37-F38</f>
        <v>219847.98766018287</v>
      </c>
      <c r="J39" t="s">
        <v>18</v>
      </c>
      <c r="L39" s="14">
        <f>L36+L37-L38</f>
        <v>157616.08848383999</v>
      </c>
    </row>
    <row r="41" spans="4:18" x14ac:dyDescent="0.3">
      <c r="D41" t="s">
        <v>21</v>
      </c>
      <c r="F41" s="3">
        <f>(F39/E14)*1000000</f>
        <v>171.89451217081549</v>
      </c>
      <c r="J41" t="s">
        <v>23</v>
      </c>
      <c r="L41">
        <f>E11</f>
        <v>79.36</v>
      </c>
    </row>
    <row r="43" spans="4:18" x14ac:dyDescent="0.3">
      <c r="H43" t="s">
        <v>35</v>
      </c>
    </row>
  </sheetData>
  <mergeCells count="2">
    <mergeCell ref="A1:C4"/>
    <mergeCell ref="I2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Belo Orozco</dc:creator>
  <cp:lastModifiedBy>Belo Orozco</cp:lastModifiedBy>
  <dcterms:created xsi:type="dcterms:W3CDTF">2026-10-26T08:33:53Z</dcterms:created>
  <dcterms:modified xsi:type="dcterms:W3CDTF">2026-10-27T04:18:55Z</dcterms:modified>
</cp:coreProperties>
</file>